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166925"/>
  <mc:AlternateContent xmlns:mc="http://schemas.openxmlformats.org/markup-compatibility/2006">
    <mc:Choice Requires="x15">
      <x15ac:absPath xmlns:x15ac="http://schemas.microsoft.com/office/spreadsheetml/2010/11/ac" url="P:\02-Users\01-Professionnel\02-NNauru\01-Jeux\02-SOS Planète\Appli SOS PLanete\01-Espaces Privés\2024-2025\"/>
    </mc:Choice>
  </mc:AlternateContent>
  <xr:revisionPtr revIDLastSave="0" documentId="13_ncr:1_{A0581E3A-811E-48CA-9667-9AAE2BBDD36D}" xr6:coauthVersionLast="47" xr6:coauthVersionMax="47" xr10:uidLastSave="{00000000-0000-0000-0000-000000000000}"/>
  <bookViews>
    <workbookView xWindow="-23148" yWindow="-108" windowWidth="23256" windowHeight="13896" tabRatio="716" xr2:uid="{7E3ED0FE-3018-44D8-AAF6-FBF9E7B2CB74}"/>
  </bookViews>
  <sheets>
    <sheet name="°C | espace | équipe | groupe" sheetId="7" r:id="rId1"/>
    <sheet name="Balan" sheetId="20" r:id="rId2"/>
    <sheet name="Bronature" sheetId="22" r:id="rId3"/>
    <sheet name="Mansart" sheetId="21" r:id="rId4"/>
    <sheet name="Neyron" sheetId="16" r:id="rId5"/>
    <sheet name="Sosanimaux" sheetId="24" r:id="rId6"/>
    <sheet name="Sosvegetaux" sheetId="23" r:id="rId7"/>
    <sheet name="Bravo texte générique" sheetId="17" r:id="rId8"/>
    <sheet name="GES par pays par hab" sheetId="12" r:id="rId9"/>
    <sheet name="Empreinte eco mondiale" sheetId="11" r:id="rId10"/>
  </sheets>
  <externalReferences>
    <externalReference r:id="rId11"/>
    <externalReference r:id="rId12"/>
    <externalReference r:id="rId13"/>
    <externalReference r:id="rId14"/>
    <externalReference r:id="rId15"/>
    <externalReference r:id="rId16"/>
  </externalReferences>
  <definedNames>
    <definedName name="_xlnm._FilterDatabase" localSheetId="0" hidden="1">'°C | espace | équipe | groupe'!$A$14:$G$70</definedName>
    <definedName name="ImpactIndicateu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22" l="1"/>
  <c r="I1" i="23" l="1" a="1"/>
  <c r="I1" i="23" s="1"/>
  <c r="B3" i="20" l="1" a="1"/>
  <c r="B3" i="20" s="1"/>
  <c r="C15" i="20"/>
  <c r="B14" i="20"/>
  <c r="B13" i="20"/>
  <c r="B12" i="20"/>
  <c r="B11" i="20"/>
  <c r="B10" i="20"/>
  <c r="B8" i="20"/>
  <c r="B2" i="20"/>
  <c r="B9" i="20"/>
  <c r="B1" i="20"/>
  <c r="M7" i="7" a="1"/>
  <c r="M7" i="7" l="1"/>
  <c r="S12" i="7" a="1"/>
  <c r="S12" i="7" s="1"/>
  <c r="T12" i="7" a="1"/>
  <c r="T12" i="7" s="1"/>
  <c r="U12" i="7" a="1"/>
  <c r="U12" i="7" s="1"/>
  <c r="V12" i="7" a="1"/>
  <c r="V12" i="7" s="1"/>
  <c r="W12" i="7" a="1"/>
  <c r="W12" i="7" s="1"/>
  <c r="X12" i="7" a="1"/>
  <c r="X12" i="7" s="1"/>
  <c r="R12" i="7" a="1"/>
  <c r="R12" i="7" s="1"/>
  <c r="B1" i="24"/>
  <c r="C15" i="24"/>
  <c r="B14" i="24"/>
  <c r="B12" i="24"/>
  <c r="B10" i="24"/>
  <c r="B8" i="24"/>
  <c r="B3" i="24" a="1"/>
  <c r="B3" i="24" s="1"/>
  <c r="B2" i="24"/>
  <c r="C15" i="23"/>
  <c r="B3" i="23" a="1"/>
  <c r="B3" i="23" s="1"/>
  <c r="B16" i="23"/>
  <c r="Q7" i="7"/>
  <c r="Q16" i="7" s="1"/>
  <c r="Q8" i="7"/>
  <c r="Q17" i="7" s="1"/>
  <c r="Q9" i="7"/>
  <c r="Q18" i="7" s="1"/>
  <c r="Q10" i="7"/>
  <c r="AL10" i="7" s="1"/>
  <c r="Q11" i="7"/>
  <c r="Q20" i="7" s="1"/>
  <c r="Q6" i="7"/>
  <c r="Q15" i="7" s="1"/>
  <c r="M8" i="7" a="1"/>
  <c r="M11" i="7" a="1"/>
  <c r="E9" i="7" a="1"/>
  <c r="M8" i="7" l="1"/>
  <c r="M11" i="7"/>
  <c r="AL11" i="7"/>
  <c r="Q19" i="7"/>
  <c r="AL9" i="7"/>
  <c r="AL8" i="7"/>
  <c r="AL7" i="7"/>
  <c r="E9" i="7"/>
  <c r="B15" i="23" l="1"/>
  <c r="B14" i="23"/>
  <c r="B12" i="23"/>
  <c r="B10" i="23"/>
  <c r="B8" i="23"/>
  <c r="F9" i="7" a="1"/>
  <c r="F9" i="7" l="1"/>
  <c r="B1" i="23"/>
  <c r="M9" i="7" a="1"/>
  <c r="M9" i="7" l="1"/>
  <c r="B2" i="23"/>
  <c r="B16" i="24" l="1"/>
  <c r="B18" i="24" s="1"/>
  <c r="A5" i="24"/>
  <c r="B8" i="7"/>
  <c r="A3" i="24"/>
  <c r="I1" i="24" a="1"/>
  <c r="I1" i="24" s="1"/>
  <c r="A1" i="24"/>
  <c r="A5" i="23"/>
  <c r="B9" i="7"/>
  <c r="A3" i="23"/>
  <c r="D1" i="23"/>
  <c r="A1" i="23"/>
  <c r="N8" i="7" a="1"/>
  <c r="L9" i="7" a="1"/>
  <c r="N8" i="7" l="1"/>
  <c r="B15" i="24"/>
  <c r="L9" i="7"/>
  <c r="D9" i="7"/>
  <c r="C9" i="7"/>
  <c r="G9" i="7" s="1"/>
  <c r="H9" i="7" s="1"/>
  <c r="I9" i="7"/>
  <c r="B18" i="23"/>
  <c r="D1" i="24"/>
  <c r="D2" i="23"/>
  <c r="I1" i="20" a="1"/>
  <c r="I1" i="20" s="1"/>
  <c r="L8" i="7" a="1"/>
  <c r="N9" i="7" a="1"/>
  <c r="N9" i="7" l="1"/>
  <c r="L8" i="7"/>
  <c r="C15" i="22"/>
  <c r="B14" i="22"/>
  <c r="B12" i="22"/>
  <c r="B10" i="22"/>
  <c r="B8" i="22"/>
  <c r="B13" i="22" l="1"/>
  <c r="B11" i="22" l="1"/>
  <c r="B9" i="22" l="1"/>
  <c r="B16" i="21" l="1"/>
  <c r="B14" i="21"/>
  <c r="B13" i="21"/>
  <c r="B12" i="21"/>
  <c r="B11" i="21"/>
  <c r="B10" i="21"/>
  <c r="B9" i="21"/>
  <c r="B8" i="21"/>
  <c r="B2" i="21"/>
  <c r="B1" i="21"/>
  <c r="B3" i="22" a="1"/>
  <c r="B3" i="22" s="1"/>
  <c r="M10" i="7" a="1"/>
  <c r="M10" i="7" l="1"/>
  <c r="B3" i="21" a="1"/>
  <c r="B3" i="21" s="1"/>
  <c r="B11" i="7" l="1"/>
  <c r="B10" i="7"/>
  <c r="B14" i="16" l="1"/>
  <c r="C15" i="21" l="1"/>
  <c r="B18" i="21" l="1"/>
  <c r="B16" i="22"/>
  <c r="B18" i="22" s="1"/>
  <c r="B16" i="20"/>
  <c r="B18" i="20" s="1"/>
  <c r="B16" i="16"/>
  <c r="N7" i="7" a="1"/>
  <c r="N10" i="7" a="1"/>
  <c r="N11" i="7" a="1"/>
  <c r="N11" i="7" l="1"/>
  <c r="N7" i="7"/>
  <c r="N10" i="7"/>
  <c r="B15" i="22"/>
  <c r="A5" i="22"/>
  <c r="A3" i="22"/>
  <c r="I1" i="22" a="1"/>
  <c r="I1" i="22" s="1"/>
  <c r="A1" i="22"/>
  <c r="A5" i="21"/>
  <c r="A3" i="21"/>
  <c r="I1" i="21" a="1"/>
  <c r="I1" i="21" s="1"/>
  <c r="A1" i="21"/>
  <c r="C10" i="7"/>
  <c r="D11" i="7"/>
  <c r="C11" i="7"/>
  <c r="AG21" i="7"/>
  <c r="AH21" i="7"/>
  <c r="AF21" i="7"/>
  <c r="U14" i="7"/>
  <c r="V14" i="7"/>
  <c r="Z14" i="7"/>
  <c r="AB14" i="7"/>
  <c r="AD14" i="7"/>
  <c r="AE14" i="7"/>
  <c r="AF14" i="7"/>
  <c r="AG14" i="7"/>
  <c r="AI14" i="7"/>
  <c r="AJ14" i="7"/>
  <c r="AE21" i="7"/>
  <c r="E10" i="7" a="1"/>
  <c r="F10" i="7" a="1"/>
  <c r="E11" i="7" a="1"/>
  <c r="F11" i="7" a="1"/>
  <c r="B15" i="21" l="1"/>
  <c r="F11" i="7"/>
  <c r="F10" i="7"/>
  <c r="I10" i="7" s="1"/>
  <c r="E10" i="7"/>
  <c r="E11" i="7"/>
  <c r="D10" i="7"/>
  <c r="AD21" i="7"/>
  <c r="AC21" i="7"/>
  <c r="AB21" i="7"/>
  <c r="G11" i="7" l="1"/>
  <c r="H11" i="7" s="1"/>
  <c r="I11" i="7"/>
  <c r="G10" i="7"/>
  <c r="H10" i="7" s="1"/>
  <c r="AA21" i="7"/>
  <c r="Z21" i="7"/>
  <c r="Y21" i="7" l="1"/>
  <c r="X21" i="7" l="1"/>
  <c r="W21" i="7"/>
  <c r="B3" i="16" a="1"/>
  <c r="B3" i="16" s="1"/>
  <c r="V21" i="7" l="1"/>
  <c r="U21" i="7"/>
  <c r="T21" i="7"/>
  <c r="S21" i="7"/>
  <c r="B7" i="7" l="1"/>
  <c r="R25" i="7" s="1"/>
  <c r="B6" i="7"/>
  <c r="A5" i="20" l="1"/>
  <c r="A3" i="20"/>
  <c r="A1" i="20"/>
  <c r="R21" i="7" l="1"/>
  <c r="S5" i="7" l="1"/>
  <c r="R14" i="7"/>
  <c r="R23" i="7" s="1"/>
  <c r="R29" i="7" s="1"/>
  <c r="S14" i="7" l="1"/>
  <c r="S23" i="7" s="1"/>
  <c r="S29" i="7" s="1"/>
  <c r="T14" i="7"/>
  <c r="T23" i="7" l="1"/>
  <c r="T29" i="7" s="1"/>
  <c r="U23" i="7" l="1"/>
  <c r="U29" i="7" s="1"/>
  <c r="W14" i="7" l="1"/>
  <c r="V23" i="7"/>
  <c r="V29" i="7" s="1"/>
  <c r="I1" i="16" a="1"/>
  <c r="I1" i="16" s="1"/>
  <c r="W23" i="7" l="1"/>
  <c r="W29" i="7" s="1"/>
  <c r="X14" i="7" l="1"/>
  <c r="X23" i="7" s="1"/>
  <c r="X29" i="7" s="1"/>
  <c r="Y14" i="7" l="1"/>
  <c r="Y23" i="7" s="1"/>
  <c r="Y29" i="7" s="1"/>
  <c r="AA14" i="7"/>
  <c r="Z23" i="7"/>
  <c r="Z29" i="7" s="1"/>
  <c r="AA23" i="7" l="1"/>
  <c r="AA29" i="7" s="1"/>
  <c r="AC14" i="7" l="1"/>
  <c r="AB23" i="7"/>
  <c r="AB29" i="7" s="1"/>
  <c r="AC23" i="7" l="1"/>
  <c r="AC29" i="7" s="1"/>
  <c r="AD23" i="7" l="1"/>
  <c r="AD29" i="7" s="1"/>
  <c r="AE23" i="7" l="1"/>
  <c r="AE29" i="7" s="1"/>
  <c r="AF23" i="7" l="1"/>
  <c r="AF29" i="7" s="1"/>
  <c r="AH14" i="7" l="1"/>
  <c r="AG23" i="7"/>
  <c r="AG29" i="7" s="1"/>
  <c r="AH23" i="7" l="1"/>
  <c r="AH29" i="7" s="1"/>
  <c r="A5" i="16"/>
  <c r="A3" i="16"/>
  <c r="A1" i="16"/>
  <c r="B32" i="7"/>
  <c r="D2" i="24" s="1"/>
  <c r="B28" i="7"/>
  <c r="AL6" i="7"/>
  <c r="E7" i="7" a="1"/>
  <c r="E6" i="7" a="1"/>
  <c r="AL15" i="7" l="1"/>
  <c r="Q24" i="7"/>
  <c r="Q30" i="7" s="1"/>
  <c r="AL16" i="7"/>
  <c r="Q25" i="7"/>
  <c r="Q31" i="7" s="1"/>
  <c r="AL17" i="7"/>
  <c r="Q26" i="7"/>
  <c r="Q32" i="7" s="1"/>
  <c r="R24" i="7"/>
  <c r="D7" i="7"/>
  <c r="AJ23" i="7"/>
  <c r="AJ29" i="7" s="1"/>
  <c r="AI23" i="7"/>
  <c r="AI29" i="7" s="1"/>
  <c r="E7" i="7"/>
  <c r="E6" i="7"/>
  <c r="D6" i="7"/>
  <c r="C7" i="7"/>
  <c r="C6" i="7"/>
  <c r="F7" i="7" a="1"/>
  <c r="F7" i="7" l="1"/>
  <c r="G7" i="7" l="1"/>
  <c r="H7" i="7" s="1"/>
  <c r="I7" i="7"/>
  <c r="F8" i="7" a="1"/>
  <c r="F8" i="7" l="1"/>
  <c r="B10" i="16" l="1"/>
  <c r="B17" i="7" s="1"/>
  <c r="B8" i="16"/>
  <c r="B16" i="7" s="1"/>
  <c r="B12" i="16"/>
  <c r="B18" i="7" s="1"/>
  <c r="F6" i="7" a="1"/>
  <c r="F6" i="7" l="1"/>
  <c r="I6" i="7" s="1"/>
  <c r="G6" i="7" l="1"/>
  <c r="F3" i="7"/>
  <c r="H6" i="7" l="1"/>
  <c r="I8" i="7"/>
  <c r="B12" i="7"/>
  <c r="D8" i="7"/>
  <c r="D3" i="7" s="1"/>
  <c r="R26" i="7"/>
  <c r="C8" i="7"/>
  <c r="G8" i="7" s="1"/>
  <c r="G12" i="7" s="1"/>
  <c r="B3" i="7"/>
  <c r="B22" i="7" s="1"/>
  <c r="H8" i="7" l="1"/>
  <c r="C3" i="7"/>
  <c r="G3" i="7" s="1"/>
  <c r="R27" i="7"/>
  <c r="R32" i="7" s="1"/>
  <c r="R30" i="7" l="1"/>
  <c r="R31" i="7"/>
  <c r="E8" i="7" a="1"/>
  <c r="E8" i="7" l="1"/>
  <c r="E3" i="7" s="1"/>
  <c r="Q3" i="7" s="1"/>
  <c r="B23" i="7"/>
  <c r="B24" i="7" l="1"/>
  <c r="C15" i="16" l="1"/>
  <c r="B18" i="16" l="1"/>
  <c r="N6" i="7" a="1"/>
  <c r="N6" i="7" l="1"/>
  <c r="B15" i="16"/>
  <c r="B15" i="20"/>
  <c r="D1" i="20" l="1"/>
  <c r="D2" i="20"/>
  <c r="L7" i="7" a="1"/>
  <c r="L7" i="7" l="1"/>
  <c r="B1" i="16"/>
  <c r="M6" i="7" a="1"/>
  <c r="M6" i="7" l="1"/>
  <c r="D2" i="22"/>
  <c r="D1" i="22"/>
  <c r="D1" i="21"/>
  <c r="D2" i="21"/>
  <c r="D2" i="16"/>
  <c r="D1" i="16"/>
  <c r="L10" i="7" a="1"/>
  <c r="L6" i="7" a="1"/>
  <c r="L11" i="7" a="1"/>
  <c r="L6" i="7" l="1"/>
  <c r="L11" i="7"/>
  <c r="L10" i="7"/>
  <c r="B2" i="1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<sst xmlns="http://schemas.openxmlformats.org/spreadsheetml/2006/main" count="1828" uniqueCount="1402">
  <si>
    <t>Equipe</t>
  </si>
  <si>
    <t>Température</t>
  </si>
  <si>
    <t>Nb</t>
  </si>
  <si>
    <t>Before</t>
  </si>
  <si>
    <t>After</t>
  </si>
  <si>
    <t>Real economy</t>
  </si>
  <si>
    <t>Max economy</t>
  </si>
  <si>
    <t>Neyron</t>
  </si>
  <si>
    <t>Soleil</t>
  </si>
  <si>
    <t>Mer</t>
  </si>
  <si>
    <t>Etoile</t>
  </si>
  <si>
    <t>Rang</t>
  </si>
  <si>
    <t>°C</t>
  </si>
  <si>
    <t>Nb Enfants</t>
  </si>
  <si>
    <t>Baisse température possible max</t>
  </si>
  <si>
    <t>Pays</t>
  </si>
  <si>
    <r>
      <t>Empreinte écologique</t>
    </r>
    <r>
      <rPr>
        <b/>
        <sz val="11"/>
        <color rgb="FF202122"/>
        <rFont val="Arial"/>
        <family val="2"/>
      </rPr>
      <t> (</t>
    </r>
    <r>
      <rPr>
        <b/>
        <sz val="11"/>
        <color rgb="FF0645AD"/>
        <rFont val="Arial"/>
        <family val="2"/>
      </rPr>
      <t>hag</t>
    </r>
    <r>
      <rPr>
        <b/>
        <sz val="11"/>
        <color rgb="FF202122"/>
        <rFont val="Arial"/>
        <family val="2"/>
      </rPr>
      <t>/hab)</t>
    </r>
  </si>
  <si>
    <r>
      <t>Biocapacité</t>
    </r>
    <r>
      <rPr>
        <b/>
        <sz val="11"/>
        <color rgb="FF202122"/>
        <rFont val="Arial"/>
        <family val="2"/>
      </rPr>
      <t> (</t>
    </r>
    <r>
      <rPr>
        <b/>
        <sz val="11"/>
        <color rgb="FF0645AD"/>
        <rFont val="Arial"/>
        <family val="2"/>
      </rPr>
      <t>hag</t>
    </r>
    <r>
      <rPr>
        <b/>
        <sz val="11"/>
        <color rgb="FF202122"/>
        <rFont val="Arial"/>
        <family val="2"/>
      </rPr>
      <t>/hab)</t>
    </r>
  </si>
  <si>
    <t>Excédent ou déficit écologique (hag/hab)</t>
  </si>
  <si>
    <t>Population (en millions)</t>
  </si>
  <si>
    <t>Excédent ou déficit de biocapacité totale (millions hag)</t>
  </si>
  <si>
    <r>
      <t> </t>
    </r>
    <r>
      <rPr>
        <sz val="11"/>
        <color rgb="FF0645AD"/>
        <rFont val="Arial"/>
        <family val="2"/>
      </rPr>
      <t>Luxembourg</t>
    </r>
  </si>
  <si>
    <t>15,82</t>
  </si>
  <si>
    <t>1,68</t>
  </si>
  <si>
    <t>−14,14</t>
  </si>
  <si>
    <t>0,52</t>
  </si>
  <si>
    <t>−7,35</t>
  </si>
  <si>
    <t>0,055221</t>
  </si>
  <si>
    <r>
      <t> </t>
    </r>
    <r>
      <rPr>
        <sz val="11"/>
        <color rgb="FF0645AD"/>
        <rFont val="Arial"/>
        <family val="2"/>
      </rPr>
      <t>Aruba</t>
    </r>
  </si>
  <si>
    <t>11,88</t>
  </si>
  <si>
    <t>0,57</t>
  </si>
  <si>
    <t>−11,31</t>
  </si>
  <si>
    <t>0,1</t>
  </si>
  <si>
    <t>−1,13</t>
  </si>
  <si>
    <t>0,004798</t>
  </si>
  <si>
    <r>
      <t> </t>
    </r>
    <r>
      <rPr>
        <sz val="11"/>
        <color rgb="FF0645AD"/>
        <rFont val="Arial"/>
        <family val="2"/>
      </rPr>
      <t>Qatar</t>
    </r>
  </si>
  <si>
    <t>10,8</t>
  </si>
  <si>
    <t>1,24</t>
  </si>
  <si>
    <t>−9,56</t>
  </si>
  <si>
    <t>2,05</t>
  </si>
  <si>
    <t>−19,60</t>
  </si>
  <si>
    <t>0,23537</t>
  </si>
  <si>
    <r>
      <t> </t>
    </r>
    <r>
      <rPr>
        <sz val="11"/>
        <color rgb="FF0645AD"/>
        <rFont val="Arial"/>
        <family val="2"/>
      </rPr>
      <t>Australie</t>
    </r>
  </si>
  <si>
    <t>9,31</t>
  </si>
  <si>
    <t>16,57</t>
  </si>
  <si>
    <t>7,26</t>
  </si>
  <si>
    <t>23,05</t>
  </si>
  <si>
    <t>167,34</t>
  </si>
  <si>
    <t>41,02454</t>
  </si>
  <si>
    <r>
      <t> </t>
    </r>
    <r>
      <rPr>
        <sz val="11"/>
        <color rgb="FF0645AD"/>
        <rFont val="Arial"/>
        <family val="2"/>
      </rPr>
      <t>États-Unis</t>
    </r>
  </si>
  <si>
    <t>8,22</t>
  </si>
  <si>
    <t>3,76</t>
  </si>
  <si>
    <t>−4,46</t>
  </si>
  <si>
    <t>317,5</t>
  </si>
  <si>
    <t>−1416,05</t>
  </si>
  <si>
    <t>145,2311</t>
  </si>
  <si>
    <r>
      <t> </t>
    </r>
    <r>
      <rPr>
        <sz val="11"/>
        <color rgb="FF0645AD"/>
        <rFont val="Arial"/>
        <family val="2"/>
      </rPr>
      <t>Canada</t>
    </r>
  </si>
  <si>
    <t>8,17</t>
  </si>
  <si>
    <t>16,01</t>
  </si>
  <si>
    <t>7,83</t>
  </si>
  <si>
    <t>34,84</t>
  </si>
  <si>
    <t>272,80</t>
  </si>
  <si>
    <t>68,27275</t>
  </si>
  <si>
    <r>
      <t> </t>
    </r>
    <r>
      <rPr>
        <sz val="11"/>
        <color rgb="FF0645AD"/>
        <rFont val="Arial"/>
        <family val="2"/>
      </rPr>
      <t>Koweït</t>
    </r>
  </si>
  <si>
    <t>8,13</t>
  </si>
  <si>
    <t>0,55</t>
  </si>
  <si>
    <t>−7,58</t>
  </si>
  <si>
    <t>3,25</t>
  </si>
  <si>
    <t>−24,64</t>
  </si>
  <si>
    <t>0,219865</t>
  </si>
  <si>
    <r>
      <t> </t>
    </r>
    <r>
      <rPr>
        <sz val="11"/>
        <color rgb="FF0645AD"/>
        <rFont val="Arial"/>
        <family val="2"/>
      </rPr>
      <t>Singapour</t>
    </r>
  </si>
  <si>
    <t>7,97</t>
  </si>
  <si>
    <t>0,05</t>
  </si>
  <si>
    <t>−7,92</t>
  </si>
  <si>
    <t>5,3</t>
  </si>
  <si>
    <t>−41,98</t>
  </si>
  <si>
    <t>0,03325</t>
  </si>
  <si>
    <r>
      <t> </t>
    </r>
    <r>
      <rPr>
        <sz val="11"/>
        <color rgb="FF0645AD"/>
        <rFont val="Arial"/>
        <family val="2"/>
      </rPr>
      <t>Royaume-Uni</t>
    </r>
  </si>
  <si>
    <t>7,93</t>
  </si>
  <si>
    <t>0,56</t>
  </si>
  <si>
    <t>−7,37</t>
  </si>
  <si>
    <t>65,648</t>
  </si>
  <si>
    <t>−483,83</t>
  </si>
  <si>
    <t>4,635924</t>
  </si>
  <si>
    <r>
      <t> </t>
    </r>
    <r>
      <rPr>
        <sz val="11"/>
        <color rgb="FF0645AD"/>
        <rFont val="Arial"/>
        <family val="2"/>
      </rPr>
      <t>Trinité-et-Tobago</t>
    </r>
  </si>
  <si>
    <t>7,92</t>
  </si>
  <si>
    <t>1,56</t>
  </si>
  <si>
    <t>−6,36</t>
  </si>
  <si>
    <t>1,34</t>
  </si>
  <si>
    <t>−8,52</t>
  </si>
  <si>
    <t>0,263939</t>
  </si>
  <si>
    <r>
      <t> </t>
    </r>
    <r>
      <rPr>
        <sz val="11"/>
        <color rgb="FF0645AD"/>
        <rFont val="Arial"/>
        <family val="2"/>
      </rPr>
      <t>Montserrat</t>
    </r>
  </si>
  <si>
    <t>7,78</t>
  </si>
  <si>
    <t>1,36</t>
  </si>
  <si>
    <t>−6,42</t>
  </si>
  <si>
    <t>0,005</t>
  </si>
  <si>
    <t>−0,03</t>
  </si>
  <si>
    <t>0,000874</t>
  </si>
  <si>
    <r>
      <t> </t>
    </r>
    <r>
      <rPr>
        <sz val="11"/>
        <color rgb="FF0645AD"/>
        <rFont val="Arial"/>
        <family val="2"/>
      </rPr>
      <t>Oman</t>
    </r>
  </si>
  <si>
    <t>7,52</t>
  </si>
  <si>
    <t>1,92</t>
  </si>
  <si>
    <t>−5,6</t>
  </si>
  <si>
    <t>3,31</t>
  </si>
  <si>
    <t>−18,54</t>
  </si>
  <si>
    <t>0,845106</t>
  </si>
  <si>
    <r>
      <t> </t>
    </r>
    <r>
      <rPr>
        <sz val="11"/>
        <color rgb="FF0645AD"/>
        <rFont val="Arial"/>
        <family val="2"/>
      </rPr>
      <t>Bahreïn</t>
    </r>
  </si>
  <si>
    <t>7,49</t>
  </si>
  <si>
    <t>0,58</t>
  </si>
  <si>
    <t>−6,91</t>
  </si>
  <si>
    <t>1,32</t>
  </si>
  <si>
    <t>−9,12</t>
  </si>
  <si>
    <t>0,102216</t>
  </si>
  <si>
    <r>
      <t> </t>
    </r>
    <r>
      <rPr>
        <sz val="11"/>
        <color rgb="FF0645AD"/>
        <rFont val="Arial"/>
        <family val="2"/>
      </rPr>
      <t>Belgique</t>
    </r>
  </si>
  <si>
    <t>7,44</t>
  </si>
  <si>
    <t>1,19</t>
  </si>
  <si>
    <t>−6,25</t>
  </si>
  <si>
    <t>11,06</t>
  </si>
  <si>
    <t>−69,13</t>
  </si>
  <si>
    <t>1,769005</t>
  </si>
  <si>
    <r>
      <t> </t>
    </r>
    <r>
      <rPr>
        <sz val="11"/>
        <color rgb="FF0645AD"/>
        <rFont val="Arial"/>
        <family val="2"/>
      </rPr>
      <t>Suède</t>
    </r>
  </si>
  <si>
    <t>7,25</t>
  </si>
  <si>
    <t>10,62</t>
  </si>
  <si>
    <t>3,38</t>
  </si>
  <si>
    <t>9,51</t>
  </si>
  <si>
    <t>32,14</t>
  </si>
  <si>
    <t>13,93051</t>
  </si>
  <si>
    <r>
      <t> </t>
    </r>
    <r>
      <rPr>
        <sz val="11"/>
        <color rgb="FF0645AD"/>
        <rFont val="Arial"/>
        <family val="2"/>
      </rPr>
      <t>Estonie</t>
    </r>
  </si>
  <si>
    <t>6,86</t>
  </si>
  <si>
    <t>10,53</t>
  </si>
  <si>
    <t>3,67</t>
  </si>
  <si>
    <t>1,29</t>
  </si>
  <si>
    <t>4,73</t>
  </si>
  <si>
    <t>1,980131</t>
  </si>
  <si>
    <r>
      <t> </t>
    </r>
    <r>
      <rPr>
        <sz val="11"/>
        <color rgb="FF0645AD"/>
        <rFont val="Arial"/>
        <family val="2"/>
      </rPr>
      <t>Bahamas</t>
    </r>
  </si>
  <si>
    <t>6,84</t>
  </si>
  <si>
    <t>9,55</t>
  </si>
  <si>
    <t>2,71</t>
  </si>
  <si>
    <t>0,37</t>
  </si>
  <si>
    <t>1,00</t>
  </si>
  <si>
    <t>0,516594</t>
  </si>
  <si>
    <r>
      <t> </t>
    </r>
    <r>
      <rPr>
        <sz val="11"/>
        <color rgb="FF0645AD"/>
        <rFont val="Arial"/>
        <family val="2"/>
      </rPr>
      <t>Lettonie</t>
    </r>
  </si>
  <si>
    <t>6,29</t>
  </si>
  <si>
    <t>3,26</t>
  </si>
  <si>
    <t>2,06</t>
  </si>
  <si>
    <t>6,72</t>
  </si>
  <si>
    <t>3,127663</t>
  </si>
  <si>
    <r>
      <t> </t>
    </r>
    <r>
      <rPr>
        <sz val="11"/>
        <color rgb="FF0645AD"/>
        <rFont val="Arial"/>
        <family val="2"/>
      </rPr>
      <t>Israël</t>
    </r>
  </si>
  <si>
    <t>6,22</t>
  </si>
  <si>
    <t>0,35</t>
  </si>
  <si>
    <t>−5,87</t>
  </si>
  <si>
    <t>7,64</t>
  </si>
  <si>
    <t>−44,85</t>
  </si>
  <si>
    <t>0,429904</t>
  </si>
  <si>
    <r>
      <t> </t>
    </r>
    <r>
      <rPr>
        <sz val="11"/>
        <color rgb="FF0645AD"/>
        <rFont val="Arial"/>
        <family val="2"/>
      </rPr>
      <t>Mongolie</t>
    </r>
  </si>
  <si>
    <t>6,08</t>
  </si>
  <si>
    <t>15,66</t>
  </si>
  <si>
    <t>9,58</t>
  </si>
  <si>
    <t>2,8</t>
  </si>
  <si>
    <t>26,82</t>
  </si>
  <si>
    <t>7,211842</t>
  </si>
  <si>
    <r>
      <t> </t>
    </r>
    <r>
      <rPr>
        <sz val="11"/>
        <color rgb="FF0645AD"/>
        <rFont val="Arial"/>
        <family val="2"/>
      </rPr>
      <t>Autriche</t>
    </r>
  </si>
  <si>
    <t>6,06</t>
  </si>
  <si>
    <t>3,07</t>
  </si>
  <si>
    <t>−3</t>
  </si>
  <si>
    <t>8,46</t>
  </si>
  <si>
    <t>−25,38</t>
  </si>
  <si>
    <t>4,285842</t>
  </si>
  <si>
    <r>
      <t> </t>
    </r>
    <r>
      <rPr>
        <sz val="11"/>
        <color rgb="FF0645AD"/>
        <rFont val="Arial"/>
        <family val="2"/>
      </rPr>
      <t>Taïwan</t>
    </r>
  </si>
  <si>
    <t>5,93</t>
  </si>
  <si>
    <t>1,0</t>
  </si>
  <si>
    <t>−4,13</t>
  </si>
  <si>
    <t>23,6</t>
  </si>
  <si>
    <t>3,979764</t>
  </si>
  <si>
    <r>
      <t> </t>
    </r>
    <r>
      <rPr>
        <sz val="11"/>
        <color rgb="FF0645AD"/>
        <rFont val="Arial"/>
        <family val="2"/>
      </rPr>
      <t>Finlande</t>
    </r>
  </si>
  <si>
    <t>5,87</t>
  </si>
  <si>
    <t>13,44</t>
  </si>
  <si>
    <t>7,57</t>
  </si>
  <si>
    <t>5,41</t>
  </si>
  <si>
    <t>40,95</t>
  </si>
  <si>
    <t>12,38678</t>
  </si>
  <si>
    <r>
      <t> </t>
    </r>
    <r>
      <rPr>
        <sz val="11"/>
        <color rgb="FF0645AD"/>
        <rFont val="Arial"/>
        <family val="2"/>
      </rPr>
      <t>Lituanie</t>
    </r>
  </si>
  <si>
    <t>5,83</t>
  </si>
  <si>
    <t>5,67</t>
  </si>
  <si>
    <t>−0,17</t>
  </si>
  <si>
    <t>3,03</t>
  </si>
  <si>
    <t>−0,52</t>
  </si>
  <si>
    <t>2,946844</t>
  </si>
  <si>
    <r>
      <t> </t>
    </r>
    <r>
      <rPr>
        <sz val="11"/>
        <color rgb="FF0645AD"/>
        <rFont val="Arial"/>
        <family val="2"/>
      </rPr>
      <t>Slovénie</t>
    </r>
  </si>
  <si>
    <t>5,81</t>
  </si>
  <si>
    <t>2,35</t>
  </si>
  <si>
    <t>−3,47</t>
  </si>
  <si>
    <t>2,07</t>
  </si>
  <si>
    <t>−7,18</t>
  </si>
  <si>
    <t>0,837263</t>
  </si>
  <si>
    <r>
      <t> </t>
    </r>
    <r>
      <rPr>
        <sz val="11"/>
        <color rgb="FF0645AD"/>
        <rFont val="Arial"/>
        <family val="2"/>
      </rPr>
      <t>Suisse</t>
    </r>
  </si>
  <si>
    <t>5,79</t>
  </si>
  <si>
    <t>1,3</t>
  </si>
  <si>
    <t>−4,48</t>
  </si>
  <si>
    <t>−35,84</t>
  </si>
  <si>
    <t>1,7962</t>
  </si>
  <si>
    <r>
      <t> </t>
    </r>
    <r>
      <rPr>
        <sz val="11"/>
        <color rgb="FF0645AD"/>
        <rFont val="Arial"/>
        <family val="2"/>
      </rPr>
      <t>Bermudes</t>
    </r>
  </si>
  <si>
    <t>5,77</t>
  </si>
  <si>
    <t>0,13</t>
  </si>
  <si>
    <t>−5,64</t>
  </si>
  <si>
    <t>0,06</t>
  </si>
  <si>
    <t>−0,34</t>
  </si>
  <si>
    <t>0,001352</t>
  </si>
  <si>
    <r>
      <t> </t>
    </r>
    <r>
      <rPr>
        <sz val="11"/>
        <color rgb="FF0645AD"/>
        <rFont val="Arial"/>
        <family val="2"/>
      </rPr>
      <t>Corée du Sud</t>
    </r>
  </si>
  <si>
    <t>5,69</t>
  </si>
  <si>
    <t>0,68</t>
  </si>
  <si>
    <t>−5,01</t>
  </si>
  <si>
    <t>−245,49</t>
  </si>
  <si>
    <t>5,855888</t>
  </si>
  <si>
    <r>
      <t> </t>
    </r>
    <r>
      <rPr>
        <sz val="11"/>
        <color rgb="FF0645AD"/>
        <rFont val="Arial"/>
        <family val="2"/>
      </rPr>
      <t>Russie</t>
    </r>
  </si>
  <si>
    <t>6,79</t>
  </si>
  <si>
    <t>1,1</t>
  </si>
  <si>
    <t>143,17</t>
  </si>
  <si>
    <t>157,49</t>
  </si>
  <si>
    <t>170,8479</t>
  </si>
  <si>
    <r>
      <t> </t>
    </r>
    <r>
      <rPr>
        <sz val="11"/>
        <color rgb="FF0645AD"/>
        <rFont val="Arial"/>
        <family val="2"/>
      </rPr>
      <t>Îles Caïmans</t>
    </r>
  </si>
  <si>
    <t>5,65</t>
  </si>
  <si>
    <t>0,32</t>
  </si>
  <si>
    <t>−5,33</t>
  </si>
  <si>
    <t>−0,32</t>
  </si>
  <si>
    <t>0,003398</t>
  </si>
  <si>
    <r>
      <t> </t>
    </r>
    <r>
      <rPr>
        <sz val="11"/>
        <color rgb="FF0645AD"/>
        <rFont val="Arial"/>
        <family val="2"/>
      </rPr>
      <t>Arabie saoudite</t>
    </r>
  </si>
  <si>
    <t>5,61</t>
  </si>
  <si>
    <t>0,5</t>
  </si>
  <si>
    <t>−5,12</t>
  </si>
  <si>
    <t>28,29</t>
  </si>
  <si>
    <t>−144,84</t>
  </si>
  <si>
    <t>2,52139</t>
  </si>
  <si>
    <r>
      <t> </t>
    </r>
    <r>
      <rPr>
        <sz val="11"/>
        <color rgb="FF0645AD"/>
        <rFont val="Arial"/>
        <family val="2"/>
      </rPr>
      <t>Nouvelle-Zélande</t>
    </r>
  </si>
  <si>
    <t>5,6</t>
  </si>
  <si>
    <t>10,14</t>
  </si>
  <si>
    <t>4,54</t>
  </si>
  <si>
    <t>4,46</t>
  </si>
  <si>
    <t>20,25</t>
  </si>
  <si>
    <t>8,075786</t>
  </si>
  <si>
    <r>
      <t> </t>
    </r>
    <r>
      <rPr>
        <sz val="11"/>
        <color rgb="FF0645AD"/>
        <rFont val="Arial"/>
        <family val="2"/>
      </rPr>
      <t>Irlande</t>
    </r>
  </si>
  <si>
    <t>5,57</t>
  </si>
  <si>
    <t>3,73</t>
  </si>
  <si>
    <t>−1,83</t>
  </si>
  <si>
    <t>4,58</t>
  </si>
  <si>
    <t>−8,38</t>
  </si>
  <si>
    <t>3,067038</t>
  </si>
  <si>
    <r>
      <t> </t>
    </r>
    <r>
      <rPr>
        <sz val="11"/>
        <color rgb="FF0645AD"/>
        <rFont val="Arial"/>
        <family val="2"/>
      </rPr>
      <t>Kazakhstan</t>
    </r>
  </si>
  <si>
    <t>5,55</t>
  </si>
  <si>
    <t>3,41</t>
  </si>
  <si>
    <t>−2,14</t>
  </si>
  <si>
    <t>16,27</t>
  </si>
  <si>
    <t>−34,82</t>
  </si>
  <si>
    <t>9,996523</t>
  </si>
  <si>
    <r>
      <t> </t>
    </r>
    <r>
      <rPr>
        <sz val="11"/>
        <color rgb="FF0645AD"/>
        <rFont val="Arial"/>
        <family val="2"/>
      </rPr>
      <t>Danemark</t>
    </r>
  </si>
  <si>
    <t>5,51</t>
  </si>
  <si>
    <t>4,78</t>
  </si>
  <si>
    <t>−0,73</t>
  </si>
  <si>
    <t>−4,09</t>
  </si>
  <si>
    <t>4,858076</t>
  </si>
  <si>
    <r>
      <t> </t>
    </r>
    <r>
      <rPr>
        <sz val="11"/>
        <color rgb="FF0645AD"/>
        <rFont val="Arial"/>
        <family val="2"/>
      </rPr>
      <t>Turkménistan</t>
    </r>
  </si>
  <si>
    <t>5,47</t>
  </si>
  <si>
    <t>2,79</t>
  </si>
  <si>
    <t>−2,68</t>
  </si>
  <si>
    <t>5,17</t>
  </si>
  <si>
    <t>−13,86</t>
  </si>
  <si>
    <t>2,636984</t>
  </si>
  <si>
    <r>
      <t> </t>
    </r>
    <r>
      <rPr>
        <sz val="11"/>
        <color rgb="FF0645AD"/>
        <rFont val="Arial"/>
        <family val="2"/>
      </rPr>
      <t>Antigua-et-Barbuda</t>
    </r>
  </si>
  <si>
    <t>5,38</t>
  </si>
  <si>
    <t>0,94</t>
  </si>
  <si>
    <t>−4,44</t>
  </si>
  <si>
    <t>0,09</t>
  </si>
  <si>
    <t>−0,40</t>
  </si>
  <si>
    <t>0,015725</t>
  </si>
  <si>
    <r>
      <t> </t>
    </r>
    <r>
      <rPr>
        <sz val="11"/>
        <color rgb="FF0645AD"/>
        <rFont val="Arial"/>
        <family val="2"/>
      </rPr>
      <t>Allemagne</t>
    </r>
  </si>
  <si>
    <t>2,27</t>
  </si>
  <si>
    <t>−3,02</t>
  </si>
  <si>
    <t>82,8</t>
  </si>
  <si>
    <t>−250,06</t>
  </si>
  <si>
    <t>35,4634</t>
  </si>
  <si>
    <r>
      <t> </t>
    </r>
    <r>
      <rPr>
        <sz val="11"/>
        <color rgb="FF0645AD"/>
        <rFont val="Arial"/>
        <family val="2"/>
      </rPr>
      <t>Pays-Bas</t>
    </r>
  </si>
  <si>
    <t>5,28</t>
  </si>
  <si>
    <t>1,17</t>
  </si>
  <si>
    <t>−4,11</t>
  </si>
  <si>
    <t>16,71</t>
  </si>
  <si>
    <t>−68,68</t>
  </si>
  <si>
    <t>3,702784</t>
  </si>
  <si>
    <r>
      <t> </t>
    </r>
    <r>
      <rPr>
        <sz val="11"/>
        <color rgb="FF0645AD"/>
        <rFont val="Arial"/>
        <family val="2"/>
      </rPr>
      <t>Tchéquie</t>
    </r>
  </si>
  <si>
    <t>5,19</t>
  </si>
  <si>
    <t>2,46</t>
  </si>
  <si>
    <t>−2,73</t>
  </si>
  <si>
    <t>10,66</t>
  </si>
  <si>
    <t>−29,10</t>
  </si>
  <si>
    <t>5,052717</t>
  </si>
  <si>
    <r>
      <t> </t>
    </r>
    <r>
      <rPr>
        <sz val="11"/>
        <color rgb="FF0645AD"/>
        <rFont val="Arial"/>
        <family val="2"/>
      </rPr>
      <t>France</t>
    </r>
  </si>
  <si>
    <t>5,14</t>
  </si>
  <si>
    <t>3,11</t>
  </si>
  <si>
    <t>−2,04</t>
  </si>
  <si>
    <t>63,98</t>
  </si>
  <si>
    <t>−130,52</t>
  </si>
  <si>
    <t>38,71163</t>
  </si>
  <si>
    <r>
      <t> </t>
    </r>
    <r>
      <rPr>
        <sz val="11"/>
        <color rgb="FF0645AD"/>
        <rFont val="Arial"/>
        <family val="2"/>
      </rPr>
      <t>Biélorussie</t>
    </r>
  </si>
  <si>
    <t>5,09</t>
  </si>
  <si>
    <t>3,64</t>
  </si>
  <si>
    <t>−1,45</t>
  </si>
  <si>
    <t>9,4</t>
  </si>
  <si>
    <t>−13,63</t>
  </si>
  <si>
    <t>6,7222</t>
  </si>
  <si>
    <r>
      <t> </t>
    </r>
    <r>
      <rPr>
        <sz val="11"/>
        <color rgb="FF0645AD"/>
        <rFont val="Arial"/>
        <family val="2"/>
      </rPr>
      <t>Japon</t>
    </r>
  </si>
  <si>
    <t>5,02</t>
  </si>
  <si>
    <t>0,72</t>
  </si>
  <si>
    <t>−4,3</t>
  </si>
  <si>
    <t>127,25</t>
  </si>
  <si>
    <t>−547,18</t>
  </si>
  <si>
    <t>18,251</t>
  </si>
  <si>
    <r>
      <t> </t>
    </r>
    <r>
      <rPr>
        <sz val="11"/>
        <color rgb="FF0645AD"/>
        <rFont val="Arial"/>
        <family val="2"/>
      </rPr>
      <t>Norvège</t>
    </r>
  </si>
  <si>
    <t>4,98</t>
  </si>
  <si>
    <t>8,18</t>
  </si>
  <si>
    <t>3,19</t>
  </si>
  <si>
    <t>4,99</t>
  </si>
  <si>
    <t>15,92</t>
  </si>
  <si>
    <t>8,196426</t>
  </si>
  <si>
    <r>
      <t> </t>
    </r>
    <r>
      <rPr>
        <sz val="11"/>
        <color rgb="FF0645AD"/>
        <rFont val="Arial"/>
        <family val="2"/>
      </rPr>
      <t>Saint-Christophe-et-Niévès</t>
    </r>
  </si>
  <si>
    <t>4,94</t>
  </si>
  <si>
    <t>0,62</t>
  </si>
  <si>
    <t>−4,31</t>
  </si>
  <si>
    <t>−0,22</t>
  </si>
  <si>
    <t>0,006275</t>
  </si>
  <si>
    <r>
      <t> </t>
    </r>
    <r>
      <rPr>
        <sz val="11"/>
        <color rgb="FF0645AD"/>
        <rFont val="Arial"/>
        <family val="2"/>
      </rPr>
      <t>Émirats arabes unis</t>
    </r>
  </si>
  <si>
    <t>−3,62</t>
  </si>
  <si>
    <t>6,30</t>
  </si>
  <si>
    <t>−22,82</t>
  </si>
  <si>
    <t>1,683401</t>
  </si>
  <si>
    <r>
      <t> </t>
    </r>
    <r>
      <rPr>
        <sz val="11"/>
        <color rgb="FF0645AD"/>
        <rFont val="Arial"/>
        <family val="2"/>
      </rPr>
      <t>Bhoutan</t>
    </r>
  </si>
  <si>
    <t>4,84</t>
  </si>
  <si>
    <t>5,27</t>
  </si>
  <si>
    <t>0,43</t>
  </si>
  <si>
    <t>0,74</t>
  </si>
  <si>
    <t>0,805744</t>
  </si>
  <si>
    <r>
      <t> </t>
    </r>
    <r>
      <rPr>
        <sz val="11"/>
        <color rgb="FF0645AD"/>
        <rFont val="Arial"/>
        <family val="2"/>
      </rPr>
      <t>Polynésie française</t>
    </r>
  </si>
  <si>
    <t>1,37</t>
  </si>
  <si>
    <t>−3,36</t>
  </si>
  <si>
    <t>0,27</t>
  </si>
  <si>
    <t>−0,91</t>
  </si>
  <si>
    <t>0,078203</t>
  </si>
  <si>
    <r>
      <t> </t>
    </r>
    <r>
      <rPr>
        <sz val="11"/>
        <color rgb="FF0645AD"/>
        <rFont val="Arial"/>
        <family val="2"/>
      </rPr>
      <t>Italie</t>
    </r>
  </si>
  <si>
    <t>4,61</t>
  </si>
  <si>
    <t>1,08</t>
  </si>
  <si>
    <t>−3,53</t>
  </si>
  <si>
    <t>60,92</t>
  </si>
  <si>
    <t>−215,05</t>
  </si>
  <si>
    <t>14,27193</t>
  </si>
  <si>
    <r>
      <t> </t>
    </r>
    <r>
      <rPr>
        <sz val="11"/>
        <color rgb="FF0645AD"/>
        <rFont val="Arial"/>
        <family val="2"/>
      </rPr>
      <t>Barbade</t>
    </r>
  </si>
  <si>
    <t>4,48</t>
  </si>
  <si>
    <t>0,19</t>
  </si>
  <si>
    <t>−4,29</t>
  </si>
  <si>
    <t>0,28</t>
  </si>
  <si>
    <t>−1,20</t>
  </si>
  <si>
    <t>0,011875</t>
  </si>
  <si>
    <r>
      <t> </t>
    </r>
    <r>
      <rPr>
        <sz val="11"/>
        <color rgb="FF0645AD"/>
        <rFont val="Arial"/>
        <family val="2"/>
      </rPr>
      <t>Pologne</t>
    </r>
  </si>
  <si>
    <t>4,44</t>
  </si>
  <si>
    <t>2,08</t>
  </si>
  <si>
    <t>−2,36</t>
  </si>
  <si>
    <t>38,21</t>
  </si>
  <si>
    <t>−90,18</t>
  </si>
  <si>
    <t>17,90018</t>
  </si>
  <si>
    <r>
      <t> </t>
    </r>
    <r>
      <rPr>
        <sz val="11"/>
        <color rgb="FF0645AD"/>
        <rFont val="Arial"/>
        <family val="2"/>
      </rPr>
      <t>Grèce</t>
    </r>
  </si>
  <si>
    <t>4,38</t>
  </si>
  <si>
    <t>1,61</t>
  </si>
  <si>
    <t>−2,77</t>
  </si>
  <si>
    <t>11,12</t>
  </si>
  <si>
    <t>−30,80</t>
  </si>
  <si>
    <t>4,087489</t>
  </si>
  <si>
    <r>
      <t> </t>
    </r>
    <r>
      <rPr>
        <sz val="11"/>
        <color rgb="FF0645AD"/>
        <rFont val="Arial"/>
        <family val="2"/>
      </rPr>
      <t>Chili</t>
    </r>
  </si>
  <si>
    <t>4,36</t>
  </si>
  <si>
    <t>3,63</t>
  </si>
  <si>
    <t>17,46</t>
  </si>
  <si>
    <t>−12,75</t>
  </si>
  <si>
    <t>14,53665</t>
  </si>
  <si>
    <r>
      <t> </t>
    </r>
    <r>
      <rPr>
        <sz val="11"/>
        <color rgb="FF0645AD"/>
        <rFont val="Arial"/>
        <family val="2"/>
      </rPr>
      <t>Suriname</t>
    </r>
  </si>
  <si>
    <t>4,25</t>
  </si>
  <si>
    <t>89,33</t>
  </si>
  <si>
    <t>85,08</t>
  </si>
  <si>
    <t>0,54</t>
  </si>
  <si>
    <t>45,94</t>
  </si>
  <si>
    <t>11,35016</t>
  </si>
  <si>
    <r>
      <t> </t>
    </r>
    <r>
      <rPr>
        <sz val="11"/>
        <color rgb="FF0645AD"/>
        <rFont val="Arial"/>
        <family val="2"/>
      </rPr>
      <t>Chypre</t>
    </r>
  </si>
  <si>
    <t>4,21</t>
  </si>
  <si>
    <t>0,34</t>
  </si>
  <si>
    <t>−3,87</t>
  </si>
  <si>
    <t>1,13</t>
  </si>
  <si>
    <t>−4,37</t>
  </si>
  <si>
    <t>0,091259</t>
  </si>
  <si>
    <r>
      <t> </t>
    </r>
    <r>
      <rPr>
        <sz val="11"/>
        <color rgb="FF0645AD"/>
        <rFont val="Arial"/>
        <family val="2"/>
      </rPr>
      <t>Paraguay</t>
    </r>
  </si>
  <si>
    <t>4,16</t>
  </si>
  <si>
    <t>10,52</t>
  </si>
  <si>
    <t>6,36</t>
  </si>
  <si>
    <t>6,69</t>
  </si>
  <si>
    <t>42,55</t>
  </si>
  <si>
    <t>16,91798</t>
  </si>
  <si>
    <t>4,06</t>
  </si>
  <si>
    <t>2,87</t>
  </si>
  <si>
    <t>−1,19</t>
  </si>
  <si>
    <t>0,41</t>
  </si>
  <si>
    <t>−0,49</t>
  </si>
  <si>
    <t>0,289828</t>
  </si>
  <si>
    <r>
      <t> </t>
    </r>
    <r>
      <rPr>
        <sz val="11"/>
        <color rgb="FF0645AD"/>
        <rFont val="Arial"/>
        <family val="2"/>
      </rPr>
      <t>Slovaquie</t>
    </r>
  </si>
  <si>
    <t>−1,35</t>
  </si>
  <si>
    <t>5,45</t>
  </si>
  <si>
    <t>−7,36</t>
  </si>
  <si>
    <t>3,637808</t>
  </si>
  <si>
    <r>
      <t> </t>
    </r>
    <r>
      <rPr>
        <sz val="11"/>
        <color rgb="FF0645AD"/>
        <rFont val="Arial"/>
        <family val="2"/>
      </rPr>
      <t>Guinée équatoriale</t>
    </r>
  </si>
  <si>
    <t>3,97</t>
  </si>
  <si>
    <t>4,4</t>
  </si>
  <si>
    <t>0,44</t>
  </si>
  <si>
    <t>0,33</t>
  </si>
  <si>
    <t>0,820151</t>
  </si>
  <si>
    <r>
      <t> </t>
    </r>
    <r>
      <rPr>
        <sz val="11"/>
        <color rgb="FF0645AD"/>
        <rFont val="Arial"/>
        <family val="2"/>
      </rPr>
      <t>Croatie</t>
    </r>
  </si>
  <si>
    <t>3,92</t>
  </si>
  <si>
    <t>−1,12</t>
  </si>
  <si>
    <t>4,31</t>
  </si>
  <si>
    <t>−4,83</t>
  </si>
  <si>
    <t>3,078571</t>
  </si>
  <si>
    <r>
      <t> </t>
    </r>
    <r>
      <rPr>
        <sz val="11"/>
        <color rgb="FF0645AD"/>
        <rFont val="Arial"/>
        <family val="2"/>
      </rPr>
      <t>Portugal</t>
    </r>
  </si>
  <si>
    <t>3,88</t>
  </si>
  <si>
    <t>1,51</t>
  </si>
  <si>
    <t>−2,37</t>
  </si>
  <si>
    <t>10,6</t>
  </si>
  <si>
    <t>−25,12</t>
  </si>
  <si>
    <t>4,125258</t>
  </si>
  <si>
    <r>
      <t> </t>
    </r>
    <r>
      <rPr>
        <sz val="11"/>
        <color rgb="FF0645AD"/>
        <rFont val="Arial"/>
        <family val="2"/>
      </rPr>
      <t>Liban</t>
    </r>
  </si>
  <si>
    <t>3,84</t>
  </si>
  <si>
    <t>−3,51</t>
  </si>
  <si>
    <t>4,65</t>
  </si>
  <si>
    <t>−16,32</t>
  </si>
  <si>
    <t>0,399609</t>
  </si>
  <si>
    <r>
      <t> </t>
    </r>
    <r>
      <rPr>
        <sz val="11"/>
        <color rgb="FF0645AD"/>
        <rFont val="Arial"/>
        <family val="2"/>
      </rPr>
      <t>Botswana</t>
    </r>
  </si>
  <si>
    <t>3,83</t>
  </si>
  <si>
    <t>3,47</t>
  </si>
  <si>
    <t>−0,35</t>
  </si>
  <si>
    <t>−0,70</t>
  </si>
  <si>
    <t>1,81201</t>
  </si>
  <si>
    <r>
      <t> </t>
    </r>
    <r>
      <rPr>
        <sz val="11"/>
        <color rgb="FF0645AD"/>
        <rFont val="Arial"/>
        <family val="2"/>
      </rPr>
      <t>Monténégro</t>
    </r>
  </si>
  <si>
    <t>3,78</t>
  </si>
  <si>
    <t>3,24</t>
  </si>
  <si>
    <t>−0,54</t>
  </si>
  <si>
    <t>−0,33</t>
  </si>
  <si>
    <t>0,531429</t>
  </si>
  <si>
    <r>
      <t> </t>
    </r>
    <r>
      <rPr>
        <sz val="11"/>
        <color rgb="FF0645AD"/>
        <rFont val="Arial"/>
        <family val="2"/>
      </rPr>
      <t>Malaisie</t>
    </r>
  </si>
  <si>
    <t>3,71</t>
  </si>
  <si>
    <t>2,41</t>
  </si>
  <si>
    <t>−1,3</t>
  </si>
  <si>
    <t>29,24</t>
  </si>
  <si>
    <t>−38,01</t>
  </si>
  <si>
    <t>18,99418</t>
  </si>
  <si>
    <r>
      <t> </t>
    </r>
    <r>
      <rPr>
        <sz val="11"/>
        <color rgb="FF0645AD"/>
        <rFont val="Arial"/>
        <family val="2"/>
      </rPr>
      <t>Libye</t>
    </r>
  </si>
  <si>
    <t>3,69</t>
  </si>
  <si>
    <t>0,7</t>
  </si>
  <si>
    <t>6,16</t>
  </si>
  <si>
    <t>−18,48</t>
  </si>
  <si>
    <t>1,168564</t>
  </si>
  <si>
    <r>
      <t> </t>
    </r>
    <r>
      <rPr>
        <sz val="11"/>
        <color rgb="FF0645AD"/>
        <rFont val="Arial"/>
        <family val="2"/>
      </rPr>
      <t>Espagne</t>
    </r>
  </si>
  <si>
    <t>1,25</t>
  </si>
  <si>
    <t>−2,42</t>
  </si>
  <si>
    <t>46,76</t>
  </si>
  <si>
    <t>−113,16</t>
  </si>
  <si>
    <t>15,92643</t>
  </si>
  <si>
    <r>
      <t> </t>
    </r>
    <r>
      <rPr>
        <sz val="11"/>
        <color rgb="FF0645AD"/>
        <rFont val="Arial"/>
        <family val="2"/>
      </rPr>
      <t>La Réunion</t>
    </r>
  </si>
  <si>
    <t>3,65</t>
  </si>
  <si>
    <t>0,18</t>
  </si>
  <si>
    <t>0,86</t>
  </si>
  <si>
    <t>−2,98</t>
  </si>
  <si>
    <t>0,042411</t>
  </si>
  <si>
    <r>
      <t> </t>
    </r>
    <r>
      <rPr>
        <sz val="11"/>
        <color rgb="FF0645AD"/>
        <rFont val="Arial"/>
        <family val="2"/>
      </rPr>
      <t>Nouvelle-Calédonie</t>
    </r>
  </si>
  <si>
    <t>3,58</t>
  </si>
  <si>
    <t>7,67</t>
  </si>
  <si>
    <t>4,09</t>
  </si>
  <si>
    <t>0,25</t>
  </si>
  <si>
    <t>1,02</t>
  </si>
  <si>
    <t>0,535615</t>
  </si>
  <si>
    <r>
      <t> </t>
    </r>
    <r>
      <rPr>
        <sz val="11"/>
        <color rgb="FF0645AD"/>
        <rFont val="Arial"/>
        <family val="2"/>
      </rPr>
      <t>Venezuela</t>
    </r>
  </si>
  <si>
    <t>3,57</t>
  </si>
  <si>
    <t>2,78</t>
  </si>
  <si>
    <t>−0,79</t>
  </si>
  <si>
    <t>29,96</t>
  </si>
  <si>
    <t>−23,67</t>
  </si>
  <si>
    <t>23,3302</t>
  </si>
  <si>
    <r>
      <t> </t>
    </r>
    <r>
      <rPr>
        <sz val="11"/>
        <color rgb="FF0645AD"/>
        <rFont val="Arial"/>
        <family val="2"/>
      </rPr>
      <t>Maurice</t>
    </r>
  </si>
  <si>
    <t>3,46</t>
  </si>
  <si>
    <t>0,71</t>
  </si>
  <si>
    <t>−2,75</t>
  </si>
  <si>
    <t>−3,41</t>
  </si>
  <si>
    <t>0,254451</t>
  </si>
  <si>
    <r>
      <t> </t>
    </r>
    <r>
      <rPr>
        <sz val="11"/>
        <color rgb="FF0645AD"/>
        <rFont val="Arial"/>
        <family val="2"/>
      </rPr>
      <t>Chine</t>
    </r>
  </si>
  <si>
    <t>−2,44</t>
  </si>
  <si>
    <t>1408,04</t>
  </si>
  <si>
    <t>−3435,62</t>
  </si>
  <si>
    <t>391,5851</t>
  </si>
  <si>
    <r>
      <t> </t>
    </r>
    <r>
      <rPr>
        <sz val="11"/>
        <color rgb="FF0645AD"/>
        <rFont val="Arial"/>
        <family val="2"/>
      </rPr>
      <t>Turquie</t>
    </r>
  </si>
  <si>
    <t>3,33</t>
  </si>
  <si>
    <t>1,52</t>
  </si>
  <si>
    <t>−1,81</t>
  </si>
  <si>
    <t>−133,94</t>
  </si>
  <si>
    <t>33,77778</t>
  </si>
  <si>
    <r>
      <t> </t>
    </r>
    <r>
      <rPr>
        <sz val="11"/>
        <color rgb="FF0645AD"/>
        <rFont val="Arial"/>
        <family val="2"/>
      </rPr>
      <t>Bulgarie</t>
    </r>
  </si>
  <si>
    <t>3,32</t>
  </si>
  <si>
    <t>2,86</t>
  </si>
  <si>
    <t>−0,46</t>
  </si>
  <si>
    <t>7,28</t>
  </si>
  <si>
    <t>−3,35</t>
  </si>
  <si>
    <t>6,271325</t>
  </si>
  <si>
    <r>
      <t> </t>
    </r>
    <r>
      <rPr>
        <sz val="11"/>
        <color rgb="FF0645AD"/>
        <rFont val="Arial"/>
        <family val="2"/>
      </rPr>
      <t>Afrique du Sud</t>
    </r>
  </si>
  <si>
    <t>1,15</t>
  </si>
  <si>
    <t>−2,16</t>
  </si>
  <si>
    <t>52,39</t>
  </si>
  <si>
    <t>18,20196</t>
  </si>
  <si>
    <r>
      <t> </t>
    </r>
    <r>
      <rPr>
        <sz val="11"/>
        <color rgb="FF0645AD"/>
        <rFont val="Arial"/>
        <family val="2"/>
      </rPr>
      <t>Macédoine du Nord</t>
    </r>
  </si>
  <si>
    <t>−1,75</t>
  </si>
  <si>
    <t>2,11</t>
  </si>
  <si>
    <t>−3,69</t>
  </si>
  <si>
    <t>0,977331</t>
  </si>
  <si>
    <r>
      <t> </t>
    </r>
    <r>
      <rPr>
        <sz val="11"/>
        <color rgb="FF0645AD"/>
        <rFont val="Arial"/>
        <family val="2"/>
      </rPr>
      <t>Guadeloupe</t>
    </r>
  </si>
  <si>
    <t>3,23</t>
  </si>
  <si>
    <t>0,45</t>
  </si>
  <si>
    <t>0,46</t>
  </si>
  <si>
    <t>−1,27</t>
  </si>
  <si>
    <t>0,064087</t>
  </si>
  <si>
    <r>
      <t> </t>
    </r>
    <r>
      <rPr>
        <sz val="11"/>
        <color rgb="FF0645AD"/>
        <rFont val="Arial"/>
        <family val="2"/>
      </rPr>
      <t>Argentine</t>
    </r>
  </si>
  <si>
    <t>3,14</t>
  </si>
  <si>
    <t>6,92</t>
  </si>
  <si>
    <t>41,09</t>
  </si>
  <si>
    <t>155,32</t>
  </si>
  <si>
    <t>90,55503</t>
  </si>
  <si>
    <r>
      <t> </t>
    </r>
    <r>
      <rPr>
        <sz val="11"/>
        <color rgb="FF0645AD"/>
        <rFont val="Arial"/>
        <family val="2"/>
      </rPr>
      <t>Bosnie-Herzégovine</t>
    </r>
  </si>
  <si>
    <t>3,12</t>
  </si>
  <si>
    <t>1,63</t>
  </si>
  <si>
    <t>−1,49</t>
  </si>
  <si>
    <t>−5,71</t>
  </si>
  <si>
    <t>2,000929</t>
  </si>
  <si>
    <r>
      <t> </t>
    </r>
    <r>
      <rPr>
        <sz val="11"/>
        <color rgb="FF0645AD"/>
        <rFont val="Arial"/>
        <family val="2"/>
      </rPr>
      <t>Brésil</t>
    </r>
  </si>
  <si>
    <t>9,08</t>
  </si>
  <si>
    <t>5,97</t>
  </si>
  <si>
    <t>198,66</t>
  </si>
  <si>
    <t>1186,00</t>
  </si>
  <si>
    <t>580,0105</t>
  </si>
  <si>
    <r>
      <t> </t>
    </r>
    <r>
      <rPr>
        <sz val="11"/>
        <color rgb="FF0645AD"/>
        <rFont val="Arial"/>
        <family val="2"/>
      </rPr>
      <t>Saint-Vincent-et-les-Grenadines</t>
    </r>
  </si>
  <si>
    <t>1,26</t>
  </si>
  <si>
    <t>−1,85</t>
  </si>
  <si>
    <t>0,11</t>
  </si>
  <si>
    <t>−0,20</t>
  </si>
  <si>
    <t>0,044566</t>
  </si>
  <si>
    <r>
      <t> </t>
    </r>
    <r>
      <rPr>
        <sz val="11"/>
        <color rgb="FF0645AD"/>
        <rFont val="Arial"/>
        <family val="2"/>
      </rPr>
      <t>Guyana</t>
    </r>
  </si>
  <si>
    <t>66,58</t>
  </si>
  <si>
    <t>63,51</t>
  </si>
  <si>
    <t>0,8</t>
  </si>
  <si>
    <t>50,81</t>
  </si>
  <si>
    <t>17,34984</t>
  </si>
  <si>
    <r>
      <t> </t>
    </r>
    <r>
      <rPr>
        <sz val="11"/>
        <color rgb="FF0645AD"/>
        <rFont val="Arial"/>
        <family val="2"/>
      </rPr>
      <t>Grenade</t>
    </r>
  </si>
  <si>
    <t>2,98</t>
  </si>
  <si>
    <t>1,96</t>
  </si>
  <si>
    <t>−1,01</t>
  </si>
  <si>
    <t>−0,10</t>
  </si>
  <si>
    <t>0,065772</t>
  </si>
  <si>
    <r>
      <t> </t>
    </r>
    <r>
      <rPr>
        <sz val="11"/>
        <color rgb="FF0645AD"/>
        <rFont val="Arial"/>
        <family val="2"/>
      </rPr>
      <t>Bolivie</t>
    </r>
  </si>
  <si>
    <t>2,96</t>
  </si>
  <si>
    <t>16,73</t>
  </si>
  <si>
    <t>13,77</t>
  </si>
  <si>
    <t>10,5</t>
  </si>
  <si>
    <t>144,59</t>
  </si>
  <si>
    <t>59,34628</t>
  </si>
  <si>
    <r>
      <t> </t>
    </r>
    <r>
      <rPr>
        <sz val="11"/>
        <color rgb="FF0645AD"/>
        <rFont val="Arial"/>
        <family val="2"/>
      </rPr>
      <t>Nauru</t>
    </r>
  </si>
  <si>
    <t>2,94</t>
  </si>
  <si>
    <t>−2,76</t>
  </si>
  <si>
    <t>0,01</t>
  </si>
  <si>
    <t>0,000646</t>
  </si>
  <si>
    <r>
      <t> </t>
    </r>
    <r>
      <rPr>
        <sz val="11"/>
        <color rgb="FF0645AD"/>
        <rFont val="Arial"/>
        <family val="2"/>
      </rPr>
      <t>Hongrie</t>
    </r>
  </si>
  <si>
    <t>2,92</t>
  </si>
  <si>
    <t>2,17</t>
  </si>
  <si>
    <t>−0,75</t>
  </si>
  <si>
    <t>9,98</t>
  </si>
  <si>
    <t>−7,49</t>
  </si>
  <si>
    <t>7,416644</t>
  </si>
  <si>
    <r>
      <t> </t>
    </r>
    <r>
      <rPr>
        <sz val="11"/>
        <color rgb="FF0645AD"/>
        <rFont val="Arial"/>
        <family val="2"/>
      </rPr>
      <t>Uruguay</t>
    </r>
  </si>
  <si>
    <t>2,91</t>
  </si>
  <si>
    <t>10,32</t>
  </si>
  <si>
    <t>7,41</t>
  </si>
  <si>
    <t>3,4</t>
  </si>
  <si>
    <t>25,19</t>
  </si>
  <si>
    <t>12,05773</t>
  </si>
  <si>
    <r>
      <t> </t>
    </r>
    <r>
      <rPr>
        <sz val="11"/>
        <color rgb="FF0645AD"/>
        <rFont val="Arial"/>
        <family val="2"/>
      </rPr>
      <t>Fidji</t>
    </r>
  </si>
  <si>
    <t>2,9</t>
  </si>
  <si>
    <t>2,37</t>
  </si>
  <si>
    <t>0,88</t>
  </si>
  <si>
    <t>0,719172</t>
  </si>
  <si>
    <r>
      <t> </t>
    </r>
    <r>
      <rPr>
        <sz val="11"/>
        <color rgb="FF0645AD"/>
        <rFont val="Arial"/>
        <family val="2"/>
      </rPr>
      <t>Mexique</t>
    </r>
  </si>
  <si>
    <t>2,89</t>
  </si>
  <si>
    <t>1,27</t>
  </si>
  <si>
    <t>−1,62</t>
  </si>
  <si>
    <t>120,85</t>
  </si>
  <si>
    <t>−195,78</t>
  </si>
  <si>
    <t>53,10709</t>
  </si>
  <si>
    <r>
      <t> </t>
    </r>
    <r>
      <rPr>
        <sz val="11"/>
        <color rgb="FF0645AD"/>
        <rFont val="Arial"/>
        <family val="2"/>
      </rPr>
      <t>Îles Vierges britanniques</t>
    </r>
  </si>
  <si>
    <t>−0,81</t>
  </si>
  <si>
    <t>0,03</t>
  </si>
  <si>
    <t>−0,02</t>
  </si>
  <si>
    <t>0,021503</t>
  </si>
  <si>
    <r>
      <t> </t>
    </r>
    <r>
      <rPr>
        <sz val="11"/>
        <color rgb="FF0645AD"/>
        <rFont val="Arial"/>
        <family val="2"/>
      </rPr>
      <t>Costa Rica</t>
    </r>
  </si>
  <si>
    <t>2,84</t>
  </si>
  <si>
    <t>1,53</t>
  </si>
  <si>
    <t>−1,31</t>
  </si>
  <si>
    <t>4,8</t>
  </si>
  <si>
    <t>−6,29</t>
  </si>
  <si>
    <t>2,585915</t>
  </si>
  <si>
    <r>
      <t> </t>
    </r>
    <r>
      <rPr>
        <sz val="11"/>
        <color rgb="FF0645AD"/>
        <rFont val="Arial"/>
        <family val="2"/>
      </rPr>
      <t>Ukraine</t>
    </r>
  </si>
  <si>
    <t>−0,58</t>
  </si>
  <si>
    <t>45,53</t>
  </si>
  <si>
    <t>−26,41</t>
  </si>
  <si>
    <t>36,39194</t>
  </si>
  <si>
    <r>
      <t> </t>
    </r>
    <r>
      <rPr>
        <sz val="11"/>
        <color rgb="FF0645AD"/>
        <rFont val="Arial"/>
        <family val="2"/>
      </rPr>
      <t>Iran</t>
    </r>
  </si>
  <si>
    <t>0,9</t>
  </si>
  <si>
    <t>−1,89</t>
  </si>
  <si>
    <t>76,42</t>
  </si>
  <si>
    <t>−144,43</t>
  </si>
  <si>
    <t>24,65161</t>
  </si>
  <si>
    <r>
      <t> </t>
    </r>
    <r>
      <rPr>
        <sz val="11"/>
        <color rgb="FF0645AD"/>
        <rFont val="Arial"/>
        <family val="2"/>
      </rPr>
      <t>Panama</t>
    </r>
  </si>
  <si>
    <t>0,15</t>
  </si>
  <si>
    <t>3,8</t>
  </si>
  <si>
    <t>4,004301</t>
  </si>
  <si>
    <r>
      <t> </t>
    </r>
    <r>
      <rPr>
        <sz val="11"/>
        <color rgb="FF0645AD"/>
        <rFont val="Arial"/>
        <family val="2"/>
      </rPr>
      <t>Samoa</t>
    </r>
  </si>
  <si>
    <t>2,77</t>
  </si>
  <si>
    <t>1,93</t>
  </si>
  <si>
    <t>−0,85</t>
  </si>
  <si>
    <t>−0,16</t>
  </si>
  <si>
    <t>0,132383</t>
  </si>
  <si>
    <r>
      <t> </t>
    </r>
    <r>
      <rPr>
        <sz val="11"/>
        <color rgb="FF0645AD"/>
        <rFont val="Arial"/>
        <family val="2"/>
      </rPr>
      <t>Roumanie</t>
    </r>
  </si>
  <si>
    <t>2,32</t>
  </si>
  <si>
    <t>−0,39</t>
  </si>
  <si>
    <t>21,76</t>
  </si>
  <si>
    <t>−8,49</t>
  </si>
  <si>
    <t>18,62849</t>
  </si>
  <si>
    <r>
      <t> </t>
    </r>
    <r>
      <rPr>
        <sz val="11"/>
        <color rgb="FF0645AD"/>
        <rFont val="Arial"/>
        <family val="2"/>
      </rPr>
      <t>Serbie</t>
    </r>
  </si>
  <si>
    <t>2,7</t>
  </si>
  <si>
    <t>−1,44</t>
  </si>
  <si>
    <t>−13,75</t>
  </si>
  <si>
    <t>4,421296</t>
  </si>
  <si>
    <r>
      <t> </t>
    </r>
    <r>
      <rPr>
        <sz val="11"/>
        <color rgb="FF0645AD"/>
        <rFont val="Arial"/>
        <family val="2"/>
      </rPr>
      <t>Tonga</t>
    </r>
  </si>
  <si>
    <t>1,48</t>
  </si>
  <si>
    <t>−1,22</t>
  </si>
  <si>
    <t>−0,12</t>
  </si>
  <si>
    <t>0,054815</t>
  </si>
  <si>
    <r>
      <t> </t>
    </r>
    <r>
      <rPr>
        <sz val="11"/>
        <color rgb="FF0645AD"/>
        <rFont val="Arial"/>
        <family val="2"/>
      </rPr>
      <t>Thaïlande</t>
    </r>
  </si>
  <si>
    <t>2,66</t>
  </si>
  <si>
    <t>−1,42</t>
  </si>
  <si>
    <t>66,78</t>
  </si>
  <si>
    <t>−94,83</t>
  </si>
  <si>
    <t>31,13053</t>
  </si>
  <si>
    <r>
      <t> </t>
    </r>
    <r>
      <rPr>
        <sz val="11"/>
        <color rgb="FF0645AD"/>
        <rFont val="Arial"/>
        <family val="2"/>
      </rPr>
      <t>Dominique</t>
    </r>
  </si>
  <si>
    <t>2,57</t>
  </si>
  <si>
    <t>1,03</t>
  </si>
  <si>
    <t>−1,54</t>
  </si>
  <si>
    <t>0,07</t>
  </si>
  <si>
    <t>−0,11</t>
  </si>
  <si>
    <t>0,028054</t>
  </si>
  <si>
    <r>
      <t> </t>
    </r>
    <r>
      <rPr>
        <sz val="11"/>
        <color rgb="FF0645AD"/>
        <rFont val="Arial"/>
        <family val="2"/>
      </rPr>
      <t>Mauritanie</t>
    </r>
  </si>
  <si>
    <t>2,54</t>
  </si>
  <si>
    <t>7,33</t>
  </si>
  <si>
    <t>6,702362</t>
  </si>
  <si>
    <r>
      <t> </t>
    </r>
    <r>
      <rPr>
        <sz val="11"/>
        <color rgb="FF0645AD"/>
        <rFont val="Arial"/>
        <family val="2"/>
      </rPr>
      <t>Cap-Vert</t>
    </r>
  </si>
  <si>
    <t>2,52</t>
  </si>
  <si>
    <t>−1,9</t>
  </si>
  <si>
    <t>0,49</t>
  </si>
  <si>
    <t>−0,93</t>
  </si>
  <si>
    <t>0,120556</t>
  </si>
  <si>
    <r>
      <t> </t>
    </r>
    <r>
      <rPr>
        <sz val="11"/>
        <color rgb="FF0645AD"/>
        <rFont val="Arial"/>
        <family val="2"/>
      </rPr>
      <t>Namibie</t>
    </r>
  </si>
  <si>
    <t>2,48</t>
  </si>
  <si>
    <t>6,88</t>
  </si>
  <si>
    <t>2,26</t>
  </si>
  <si>
    <t>9,94</t>
  </si>
  <si>
    <t>6,269677</t>
  </si>
  <si>
    <r>
      <t> </t>
    </r>
    <r>
      <rPr>
        <sz val="11"/>
        <color rgb="FF0645AD"/>
        <rFont val="Arial"/>
        <family val="2"/>
      </rPr>
      <t>Sainte-Lucie</t>
    </r>
  </si>
  <si>
    <t>2,45</t>
  </si>
  <si>
    <t>−2,1</t>
  </si>
  <si>
    <t>−0,38</t>
  </si>
  <si>
    <t>0,02498</t>
  </si>
  <si>
    <r>
      <t> </t>
    </r>
    <r>
      <rPr>
        <sz val="11"/>
        <color rgb="FF0645AD"/>
        <rFont val="Arial"/>
        <family val="2"/>
      </rPr>
      <t>Guyane</t>
    </r>
  </si>
  <si>
    <t>2,34</t>
  </si>
  <si>
    <t>111,35</t>
  </si>
  <si>
    <t>109,01</t>
  </si>
  <si>
    <t>0,24</t>
  </si>
  <si>
    <t>26,16</t>
  </si>
  <si>
    <t>11,42051</t>
  </si>
  <si>
    <r>
      <t> </t>
    </r>
    <r>
      <rPr>
        <sz val="11"/>
        <color rgb="FF0645AD"/>
        <rFont val="Arial"/>
        <family val="2"/>
      </rPr>
      <t>Tunisie</t>
    </r>
  </si>
  <si>
    <t>0,93</t>
  </si>
  <si>
    <t>−1,4</t>
  </si>
  <si>
    <t>10,88</t>
  </si>
  <si>
    <t>−15,23</t>
  </si>
  <si>
    <t>4,324103</t>
  </si>
  <si>
    <r>
      <t> </t>
    </r>
    <r>
      <rPr>
        <sz val="11"/>
        <color rgb="FF0645AD"/>
        <rFont val="Arial"/>
        <family val="2"/>
      </rPr>
      <t>Ouzbékistan</t>
    </r>
  </si>
  <si>
    <t>0,92</t>
  </si>
  <si>
    <t>28,54</t>
  </si>
  <si>
    <t>−39,96</t>
  </si>
  <si>
    <t>11,31759</t>
  </si>
  <si>
    <r>
      <t> </t>
    </r>
    <r>
      <rPr>
        <sz val="11"/>
        <color rgb="FF0645AD"/>
        <rFont val="Arial"/>
        <family val="2"/>
      </rPr>
      <t>Azerbaïdjan</t>
    </r>
  </si>
  <si>
    <t>2,31</t>
  </si>
  <si>
    <t>0,85</t>
  </si>
  <si>
    <t>−1,46</t>
  </si>
  <si>
    <t>−13,59</t>
  </si>
  <si>
    <t>3,425758</t>
  </si>
  <si>
    <r>
      <t> </t>
    </r>
    <r>
      <rPr>
        <sz val="11"/>
        <color rgb="FF0645AD"/>
        <rFont val="Arial"/>
        <family val="2"/>
      </rPr>
      <t>Pérou</t>
    </r>
  </si>
  <si>
    <t>2,28</t>
  </si>
  <si>
    <t>1,69</t>
  </si>
  <si>
    <t>29,99</t>
  </si>
  <si>
    <t>50,68</t>
  </si>
  <si>
    <t>52,21943</t>
  </si>
  <si>
    <r>
      <t> </t>
    </r>
    <r>
      <rPr>
        <sz val="11"/>
        <color rgb="FF0645AD"/>
        <rFont val="Arial"/>
        <family val="2"/>
      </rPr>
      <t>Arménie</t>
    </r>
  </si>
  <si>
    <t>2,23</t>
  </si>
  <si>
    <t>0,89</t>
  </si>
  <si>
    <t>2,97</t>
  </si>
  <si>
    <t>−4,01</t>
  </si>
  <si>
    <t>1,185336</t>
  </si>
  <si>
    <r>
      <t> </t>
    </r>
    <r>
      <rPr>
        <sz val="11"/>
        <color rgb="FF0645AD"/>
        <rFont val="Arial"/>
        <family val="2"/>
      </rPr>
      <t>Albanie</t>
    </r>
  </si>
  <si>
    <t>2,21</t>
  </si>
  <si>
    <t>1,18</t>
  </si>
  <si>
    <t>−1,03</t>
  </si>
  <si>
    <t>3,16</t>
  </si>
  <si>
    <t>−3,25</t>
  </si>
  <si>
    <t>1,68724</t>
  </si>
  <si>
    <r>
      <t> </t>
    </r>
    <r>
      <rPr>
        <sz val="11"/>
        <color rgb="FF0645AD"/>
        <rFont val="Arial"/>
        <family val="2"/>
      </rPr>
      <t>Djibouti</t>
    </r>
  </si>
  <si>
    <t>2,19</t>
  </si>
  <si>
    <t>0,77</t>
  </si>
  <si>
    <t>0,302374</t>
  </si>
  <si>
    <r>
      <t> </t>
    </r>
    <r>
      <rPr>
        <sz val="11"/>
        <color rgb="FF0645AD"/>
        <rFont val="Arial"/>
        <family val="2"/>
      </rPr>
      <t>Équateur</t>
    </r>
  </si>
  <si>
    <t>2,2</t>
  </si>
  <si>
    <t>15,49</t>
  </si>
  <si>
    <t>15,70415</t>
  </si>
  <si>
    <r>
      <t> </t>
    </r>
    <r>
      <rPr>
        <sz val="11"/>
        <color rgb="FF0645AD"/>
        <rFont val="Arial"/>
        <family val="2"/>
      </rPr>
      <t>Égypte</t>
    </r>
  </si>
  <si>
    <t>2,15</t>
  </si>
  <si>
    <t>−1,59</t>
  </si>
  <si>
    <t>80,72</t>
  </si>
  <si>
    <t>−128,34</t>
  </si>
  <si>
    <t>21,02474</t>
  </si>
  <si>
    <r>
      <t> </t>
    </r>
    <r>
      <rPr>
        <sz val="11"/>
        <color rgb="FF0645AD"/>
        <rFont val="Arial"/>
        <family val="2"/>
      </rPr>
      <t>Algérie</t>
    </r>
  </si>
  <si>
    <t>2,12</t>
  </si>
  <si>
    <t>0,59</t>
  </si>
  <si>
    <t>−1,53</t>
  </si>
  <si>
    <t>38,48</t>
  </si>
  <si>
    <t>−58,87</t>
  </si>
  <si>
    <t>10,70906</t>
  </si>
  <si>
    <r>
      <t> </t>
    </r>
    <r>
      <rPr>
        <sz val="11"/>
        <color rgb="FF0645AD"/>
        <rFont val="Arial"/>
        <family val="2"/>
      </rPr>
      <t>Jordanie</t>
    </r>
  </si>
  <si>
    <t>2,1</t>
  </si>
  <si>
    <t>0,21</t>
  </si>
  <si>
    <t>7,01</t>
  </si>
  <si>
    <t>−13,25</t>
  </si>
  <si>
    <t>0,701</t>
  </si>
  <si>
    <r>
      <t> </t>
    </r>
    <r>
      <rPr>
        <sz val="11"/>
        <color rgb="FF0645AD"/>
        <rFont val="Arial"/>
        <family val="2"/>
      </rPr>
      <t>Martinique</t>
    </r>
  </si>
  <si>
    <t>0,39</t>
  </si>
  <si>
    <t>−1,7</t>
  </si>
  <si>
    <t>0,4</t>
  </si>
  <si>
    <t>−0,68</t>
  </si>
  <si>
    <t>0,075</t>
  </si>
  <si>
    <r>
      <t> </t>
    </r>
    <r>
      <rPr>
        <sz val="11"/>
        <color rgb="FF0645AD"/>
        <rFont val="Arial"/>
        <family val="2"/>
      </rPr>
      <t>Salvador</t>
    </r>
  </si>
  <si>
    <t>0,61</t>
  </si>
  <si>
    <t>6,3</t>
  </si>
  <si>
    <t>−9,20</t>
  </si>
  <si>
    <t>1,856522</t>
  </si>
  <si>
    <r>
      <t> </t>
    </r>
    <r>
      <rPr>
        <sz val="11"/>
        <color rgb="FF0645AD"/>
        <rFont val="Arial"/>
        <family val="2"/>
      </rPr>
      <t>Wallis-et-Futuna</t>
    </r>
  </si>
  <si>
    <t>−0,56</t>
  </si>
  <si>
    <t>−0,01</t>
  </si>
  <si>
    <t>0,007295</t>
  </si>
  <si>
    <r>
      <t> </t>
    </r>
    <r>
      <rPr>
        <sz val="11"/>
        <color rgb="FF0645AD"/>
        <rFont val="Arial"/>
        <family val="2"/>
      </rPr>
      <t>Gabon</t>
    </r>
  </si>
  <si>
    <t>2,02</t>
  </si>
  <si>
    <t>26,31</t>
  </si>
  <si>
    <t>24,29</t>
  </si>
  <si>
    <t>39,59</t>
  </si>
  <si>
    <t>21,23035</t>
  </si>
  <si>
    <r>
      <t> </t>
    </r>
    <r>
      <rPr>
        <sz val="11"/>
        <color rgb="FF0645AD"/>
        <rFont val="Arial"/>
        <family val="2"/>
      </rPr>
      <t>Eswatini</t>
    </r>
  </si>
  <si>
    <t>2,01</t>
  </si>
  <si>
    <t>−1,14</t>
  </si>
  <si>
    <t>1,23</t>
  </si>
  <si>
    <t>−1,40</t>
  </si>
  <si>
    <t>0,538507</t>
  </si>
  <si>
    <r>
      <t> </t>
    </r>
    <r>
      <rPr>
        <sz val="11"/>
        <color rgb="FF0645AD"/>
        <rFont val="Arial"/>
        <family val="2"/>
      </rPr>
      <t>Ghana</t>
    </r>
  </si>
  <si>
    <t>1,97</t>
  </si>
  <si>
    <t>1,35</t>
  </si>
  <si>
    <t>−0,62</t>
  </si>
  <si>
    <t>25,37</t>
  </si>
  <si>
    <t>−15,73</t>
  </si>
  <si>
    <t>17,38553</t>
  </si>
  <si>
    <r>
      <t> </t>
    </r>
    <r>
      <rPr>
        <sz val="11"/>
        <color rgb="FF0645AD"/>
        <rFont val="Arial"/>
        <family val="2"/>
      </rPr>
      <t>Cuba</t>
    </r>
  </si>
  <si>
    <t>1,95</t>
  </si>
  <si>
    <t>0,76</t>
  </si>
  <si>
    <t>11,27</t>
  </si>
  <si>
    <t>−13,41</t>
  </si>
  <si>
    <t>4,39241</t>
  </si>
  <si>
    <r>
      <t> </t>
    </r>
    <r>
      <rPr>
        <sz val="11"/>
        <color rgb="FF0645AD"/>
        <rFont val="Arial"/>
        <family val="2"/>
      </rPr>
      <t>Kirghizistan</t>
    </r>
  </si>
  <si>
    <t>1,91</t>
  </si>
  <si>
    <t>−0,61</t>
  </si>
  <si>
    <t>−3,34</t>
  </si>
  <si>
    <t>3,723037</t>
  </si>
  <si>
    <r>
      <t> </t>
    </r>
    <r>
      <rPr>
        <sz val="11"/>
        <color rgb="FF0645AD"/>
        <rFont val="Arial"/>
        <family val="2"/>
      </rPr>
      <t>Papouasie-Nouvelle-Guinée</t>
    </r>
  </si>
  <si>
    <t>7,17</t>
  </si>
  <si>
    <t>14,41</t>
  </si>
  <si>
    <t>14,71539</t>
  </si>
  <si>
    <r>
      <t> </t>
    </r>
    <r>
      <rPr>
        <sz val="11"/>
        <color rgb="FF0645AD"/>
        <rFont val="Arial"/>
        <family val="2"/>
      </rPr>
      <t>Guatemala</t>
    </r>
  </si>
  <si>
    <t>1,89</t>
  </si>
  <si>
    <t>0,99</t>
  </si>
  <si>
    <t>−0,9</t>
  </si>
  <si>
    <t>15,08</t>
  </si>
  <si>
    <t>−13,57</t>
  </si>
  <si>
    <t>7,899048</t>
  </si>
  <si>
    <r>
      <t> </t>
    </r>
    <r>
      <rPr>
        <sz val="11"/>
        <color rgb="FF0645AD"/>
        <rFont val="Arial"/>
        <family val="2"/>
      </rPr>
      <t>Jamaïque</t>
    </r>
  </si>
  <si>
    <t>−4,04</t>
  </si>
  <si>
    <t>0,630212</t>
  </si>
  <si>
    <r>
      <t> </t>
    </r>
    <r>
      <rPr>
        <sz val="11"/>
        <color rgb="FF0645AD"/>
        <rFont val="Arial"/>
        <family val="2"/>
      </rPr>
      <t>Irak</t>
    </r>
  </si>
  <si>
    <t>1,88</t>
  </si>
  <si>
    <t>0,29</t>
  </si>
  <si>
    <t>32,78</t>
  </si>
  <si>
    <t>−52,12</t>
  </si>
  <si>
    <t>5,056489</t>
  </si>
  <si>
    <r>
      <t> </t>
    </r>
    <r>
      <rPr>
        <sz val="11"/>
        <color rgb="FF0645AD"/>
        <rFont val="Arial"/>
        <family val="2"/>
      </rPr>
      <t>Colombie</t>
    </r>
  </si>
  <si>
    <t>1,87</t>
  </si>
  <si>
    <t>3,6</t>
  </si>
  <si>
    <t>1,72</t>
  </si>
  <si>
    <t>47,7</t>
  </si>
  <si>
    <t>82,04</t>
  </si>
  <si>
    <t>91,82888</t>
  </si>
  <si>
    <r>
      <t> </t>
    </r>
    <r>
      <rPr>
        <sz val="11"/>
        <color rgb="FF0645AD"/>
        <rFont val="Arial"/>
        <family val="2"/>
      </rPr>
      <t>Moldavie</t>
    </r>
  </si>
  <si>
    <t>1,78</t>
  </si>
  <si>
    <t>−0,98</t>
  </si>
  <si>
    <t>3,51</t>
  </si>
  <si>
    <t>−3,44</t>
  </si>
  <si>
    <t>1,577528</t>
  </si>
  <si>
    <r>
      <t> </t>
    </r>
    <r>
      <rPr>
        <sz val="11"/>
        <color rgb="FF0645AD"/>
        <rFont val="Arial"/>
        <family val="2"/>
      </rPr>
      <t>Honduras</t>
    </r>
  </si>
  <si>
    <t>1,77</t>
  </si>
  <si>
    <t>7,94</t>
  </si>
  <si>
    <t>8,365357</t>
  </si>
  <si>
    <r>
      <t> </t>
    </r>
    <r>
      <rPr>
        <sz val="11"/>
        <color rgb="FF0645AD"/>
        <rFont val="Arial"/>
        <family val="2"/>
      </rPr>
      <t>Maroc</t>
    </r>
  </si>
  <si>
    <t>−0,96</t>
  </si>
  <si>
    <t>32,52</t>
  </si>
  <si>
    <t>−31,22</t>
  </si>
  <si>
    <t>13,74357</t>
  </si>
  <si>
    <r>
      <t> </t>
    </r>
    <r>
      <rPr>
        <sz val="11"/>
        <color rgb="FF0645AD"/>
        <rFont val="Arial"/>
        <family val="2"/>
      </rPr>
      <t>Lesotho</t>
    </r>
  </si>
  <si>
    <t>1,66</t>
  </si>
  <si>
    <t>0,78</t>
  </si>
  <si>
    <t>−0,87</t>
  </si>
  <si>
    <t>−1,78</t>
  </si>
  <si>
    <t>0,963253</t>
  </si>
  <si>
    <r>
      <t> </t>
    </r>
    <r>
      <rPr>
        <sz val="11"/>
        <color rgb="FF0645AD"/>
        <rFont val="Arial"/>
        <family val="2"/>
      </rPr>
      <t>Viêt Nam</t>
    </r>
  </si>
  <si>
    <t>1,65</t>
  </si>
  <si>
    <t>−0,65</t>
  </si>
  <si>
    <t>90,8</t>
  </si>
  <si>
    <t>−59,02</t>
  </si>
  <si>
    <t>55,0303</t>
  </si>
  <si>
    <r>
      <t> </t>
    </r>
    <r>
      <rPr>
        <sz val="11"/>
        <color rgb="FF0645AD"/>
        <rFont val="Arial"/>
        <family val="2"/>
      </rPr>
      <t>Géorgie</t>
    </r>
  </si>
  <si>
    <t>1,58</t>
  </si>
  <si>
    <t>−0,41</t>
  </si>
  <si>
    <t>−1,79</t>
  </si>
  <si>
    <t>3,228608</t>
  </si>
  <si>
    <r>
      <t> </t>
    </r>
    <r>
      <rPr>
        <sz val="11"/>
        <color rgb="FF0645AD"/>
        <rFont val="Arial"/>
        <family val="2"/>
      </rPr>
      <t>Indonésie</t>
    </r>
  </si>
  <si>
    <t>246,86</t>
  </si>
  <si>
    <t>−79,00</t>
  </si>
  <si>
    <t>196,863</t>
  </si>
  <si>
    <r>
      <t> </t>
    </r>
    <r>
      <rPr>
        <sz val="11"/>
        <color rgb="FF0645AD"/>
        <rFont val="Arial"/>
        <family val="2"/>
      </rPr>
      <t>Niger</t>
    </r>
  </si>
  <si>
    <t>17,16</t>
  </si>
  <si>
    <t>−5,49</t>
  </si>
  <si>
    <t>13,64</t>
  </si>
  <si>
    <r>
      <t> </t>
    </r>
    <r>
      <rPr>
        <sz val="11"/>
        <color rgb="FF0645AD"/>
        <rFont val="Arial"/>
        <family val="2"/>
      </rPr>
      <t>République dominicaine</t>
    </r>
  </si>
  <si>
    <t>−0,97</t>
  </si>
  <si>
    <t>10,28</t>
  </si>
  <si>
    <t>−9,97</t>
  </si>
  <si>
    <t>3,762614</t>
  </si>
  <si>
    <r>
      <t> </t>
    </r>
    <r>
      <rPr>
        <sz val="11"/>
        <color rgb="FF0645AD"/>
        <rFont val="Arial"/>
        <family val="2"/>
      </rPr>
      <t>Guinée-Bissau</t>
    </r>
  </si>
  <si>
    <t>1,49</t>
  </si>
  <si>
    <t>2,47</t>
  </si>
  <si>
    <t>3,287451</t>
  </si>
  <si>
    <r>
      <t> </t>
    </r>
    <r>
      <rPr>
        <sz val="11"/>
        <color rgb="FF0645AD"/>
        <rFont val="Arial"/>
        <family val="2"/>
      </rPr>
      <t>Mali</t>
    </r>
  </si>
  <si>
    <t>14,85</t>
  </si>
  <si>
    <t>15,33529</t>
  </si>
  <si>
    <r>
      <t> </t>
    </r>
    <r>
      <rPr>
        <sz val="11"/>
        <color rgb="FF0645AD"/>
        <rFont val="Arial"/>
        <family val="2"/>
      </rPr>
      <t>Syrie</t>
    </r>
  </si>
  <si>
    <t>0,6</t>
  </si>
  <si>
    <t>21,89</t>
  </si>
  <si>
    <t>−19,92</t>
  </si>
  <si>
    <t>8,698013</t>
  </si>
  <si>
    <r>
      <t> </t>
    </r>
    <r>
      <rPr>
        <sz val="11"/>
        <color rgb="FF0645AD"/>
        <rFont val="Arial"/>
        <family val="2"/>
      </rPr>
      <t>Sao Tomé-et-Principe</t>
    </r>
  </si>
  <si>
    <t>0,87</t>
  </si>
  <si>
    <t>0,11094</t>
  </si>
  <si>
    <r>
      <t> </t>
    </r>
    <r>
      <rPr>
        <sz val="11"/>
        <color rgb="FF0645AD"/>
        <rFont val="Arial"/>
        <family val="2"/>
      </rPr>
      <t>Tchad</t>
    </r>
  </si>
  <si>
    <t>1,46</t>
  </si>
  <si>
    <t>2,03</t>
  </si>
  <si>
    <t>12,45</t>
  </si>
  <si>
    <t>7,10</t>
  </si>
  <si>
    <t>17,31062</t>
  </si>
  <si>
    <r>
      <t> </t>
    </r>
    <r>
      <rPr>
        <sz val="11"/>
        <color rgb="FF0645AD"/>
        <rFont val="Arial"/>
        <family val="2"/>
      </rPr>
      <t>Birmanie</t>
    </r>
  </si>
  <si>
    <t>1,43</t>
  </si>
  <si>
    <t>1,84</t>
  </si>
  <si>
    <t>52,8</t>
  </si>
  <si>
    <t>21,65</t>
  </si>
  <si>
    <t>67,93846</t>
  </si>
  <si>
    <r>
      <t> </t>
    </r>
    <r>
      <rPr>
        <sz val="11"/>
        <color rgb="FF0645AD"/>
        <rFont val="Arial"/>
        <family val="2"/>
      </rPr>
      <t>Bénin</t>
    </r>
  </si>
  <si>
    <t>1,41</t>
  </si>
  <si>
    <t>−0,53</t>
  </si>
  <si>
    <t>10,05</t>
  </si>
  <si>
    <t>6,27234</t>
  </si>
  <si>
    <r>
      <t> </t>
    </r>
    <r>
      <rPr>
        <sz val="11"/>
        <color rgb="FF0645AD"/>
        <rFont val="Arial"/>
        <family val="2"/>
      </rPr>
      <t>Guinée</t>
    </r>
  </si>
  <si>
    <t>2,09</t>
  </si>
  <si>
    <t>11,45</t>
  </si>
  <si>
    <t>7,79</t>
  </si>
  <si>
    <t>16,97199</t>
  </si>
  <si>
    <r>
      <t> </t>
    </r>
    <r>
      <rPr>
        <sz val="11"/>
        <color rgb="FF0645AD"/>
        <rFont val="Arial"/>
        <family val="2"/>
      </rPr>
      <t>Nicaragua</t>
    </r>
  </si>
  <si>
    <t>1,39</t>
  </si>
  <si>
    <t>2,25</t>
  </si>
  <si>
    <t>5,99</t>
  </si>
  <si>
    <t>5,21</t>
  </si>
  <si>
    <t>9,696043</t>
  </si>
  <si>
    <r>
      <t> </t>
    </r>
    <r>
      <rPr>
        <sz val="11"/>
        <color rgb="FF0645AD"/>
        <rFont val="Arial"/>
        <family val="2"/>
      </rPr>
      <t>Zimbabwe</t>
    </r>
  </si>
  <si>
    <t>13,72</t>
  </si>
  <si>
    <t>−10,29</t>
  </si>
  <si>
    <t>6,209051</t>
  </si>
  <si>
    <r>
      <t> </t>
    </r>
    <r>
      <rPr>
        <sz val="11"/>
        <color rgb="FF0645AD"/>
        <rFont val="Arial"/>
        <family val="2"/>
      </rPr>
      <t>Sri Lanka</t>
    </r>
  </si>
  <si>
    <t>−0,88</t>
  </si>
  <si>
    <t>21,1</t>
  </si>
  <si>
    <t>−18,57</t>
  </si>
  <si>
    <t>7,033333</t>
  </si>
  <si>
    <r>
      <t> </t>
    </r>
    <r>
      <rPr>
        <sz val="11"/>
        <color rgb="FF0645AD"/>
        <rFont val="Arial"/>
        <family val="2"/>
      </rPr>
      <t>Tanzanie</t>
    </r>
  </si>
  <si>
    <t>−0,24</t>
  </si>
  <si>
    <t>47,78</t>
  </si>
  <si>
    <t>−11,47</t>
  </si>
  <si>
    <t>39,09273</t>
  </si>
  <si>
    <r>
      <t> </t>
    </r>
    <r>
      <rPr>
        <sz val="11"/>
        <color rgb="FF0645AD"/>
        <rFont val="Arial"/>
        <family val="2"/>
      </rPr>
      <t>République du Congo</t>
    </r>
  </si>
  <si>
    <t>10,91</t>
  </si>
  <si>
    <t>9,63</t>
  </si>
  <si>
    <t>4,34</t>
  </si>
  <si>
    <t>41,97</t>
  </si>
  <si>
    <t>36,70496</t>
  </si>
  <si>
    <r>
      <t> </t>
    </r>
    <r>
      <rPr>
        <sz val="11"/>
        <color rgb="FF0645AD"/>
        <rFont val="Arial"/>
        <family val="2"/>
      </rPr>
      <t>Salomon</t>
    </r>
  </si>
  <si>
    <t>3,08</t>
  </si>
  <si>
    <t>1,858915</t>
  </si>
  <si>
    <r>
      <t> </t>
    </r>
    <r>
      <rPr>
        <sz val="11"/>
        <color rgb="FF0645AD"/>
        <rFont val="Arial"/>
        <family val="2"/>
      </rPr>
      <t>Côte d'Ivoire</t>
    </r>
  </si>
  <si>
    <t>0,51</t>
  </si>
  <si>
    <t>19,84</t>
  </si>
  <si>
    <t>10,12</t>
  </si>
  <si>
    <t>27,80724</t>
  </si>
  <si>
    <r>
      <t> </t>
    </r>
    <r>
      <rPr>
        <sz val="11"/>
        <color rgb="FF0645AD"/>
        <rFont val="Arial"/>
        <family val="2"/>
      </rPr>
      <t>République centrafricaine</t>
    </r>
  </si>
  <si>
    <t>7,87</t>
  </si>
  <si>
    <t>6,62</t>
  </si>
  <si>
    <t>4,53</t>
  </si>
  <si>
    <t>28,75089</t>
  </si>
  <si>
    <r>
      <t> </t>
    </r>
    <r>
      <rPr>
        <sz val="11"/>
        <color rgb="FF0645AD"/>
        <rFont val="Arial"/>
        <family val="2"/>
      </rPr>
      <t>Sierra Leone</t>
    </r>
  </si>
  <si>
    <t>5,98</t>
  </si>
  <si>
    <t>0,00</t>
  </si>
  <si>
    <r>
      <t> </t>
    </r>
    <r>
      <rPr>
        <sz val="11"/>
        <color rgb="FF0645AD"/>
        <rFont val="Arial"/>
        <family val="2"/>
      </rPr>
      <t>Somalie</t>
    </r>
  </si>
  <si>
    <t>10,2</t>
  </si>
  <si>
    <t>0,31</t>
  </si>
  <si>
    <t>10,44677</t>
  </si>
  <si>
    <r>
      <t> </t>
    </r>
    <r>
      <rPr>
        <sz val="11"/>
        <color rgb="FF0645AD"/>
        <rFont val="Arial"/>
        <family val="2"/>
      </rPr>
      <t>Ouganda</t>
    </r>
  </si>
  <si>
    <t>−0,66</t>
  </si>
  <si>
    <t>36,35</t>
  </si>
  <si>
    <t>−23,99</t>
  </si>
  <si>
    <t>17,29556</t>
  </si>
  <si>
    <r>
      <t> </t>
    </r>
    <r>
      <rPr>
        <sz val="11"/>
        <color rgb="FF0645AD"/>
        <rFont val="Arial"/>
        <family val="2"/>
      </rPr>
      <t>Laos</t>
    </r>
  </si>
  <si>
    <t>1,22</t>
  </si>
  <si>
    <t>1,62</t>
  </si>
  <si>
    <t>6,65</t>
  </si>
  <si>
    <t>8,830328</t>
  </si>
  <si>
    <r>
      <t> </t>
    </r>
    <r>
      <rPr>
        <sz val="11"/>
        <color rgb="FF0645AD"/>
        <rFont val="Arial"/>
        <family val="2"/>
      </rPr>
      <t>Burkina Faso</t>
    </r>
  </si>
  <si>
    <t>1,21</t>
  </si>
  <si>
    <t>0,98</t>
  </si>
  <si>
    <t>16,46</t>
  </si>
  <si>
    <t>13,33124</t>
  </si>
  <si>
    <r>
      <t> </t>
    </r>
    <r>
      <rPr>
        <sz val="11"/>
        <color rgb="FF0645AD"/>
        <rFont val="Arial"/>
        <family val="2"/>
      </rPr>
      <t>Cambodge</t>
    </r>
  </si>
  <si>
    <t>1,09</t>
  </si>
  <si>
    <t>14,86</t>
  </si>
  <si>
    <t>−1,63</t>
  </si>
  <si>
    <t>13,38628</t>
  </si>
  <si>
    <r>
      <t> </t>
    </r>
    <r>
      <rPr>
        <sz val="11"/>
        <color rgb="FF0645AD"/>
        <rFont val="Arial"/>
        <family val="2"/>
      </rPr>
      <t>Liberia</t>
    </r>
  </si>
  <si>
    <t>4,19</t>
  </si>
  <si>
    <t>5,66</t>
  </si>
  <si>
    <t>8,899421</t>
  </si>
  <si>
    <r>
      <t> </t>
    </r>
    <r>
      <rPr>
        <sz val="11"/>
        <color rgb="FF0645AD"/>
        <rFont val="Arial"/>
        <family val="2"/>
      </rPr>
      <t>Sénégal</t>
    </r>
  </si>
  <si>
    <t>1,05</t>
  </si>
  <si>
    <t>13,73</t>
  </si>
  <si>
    <t>−2,20</t>
  </si>
  <si>
    <t>11,91446</t>
  </si>
  <si>
    <r>
      <t> </t>
    </r>
    <r>
      <rPr>
        <sz val="11"/>
        <color rgb="FF0645AD"/>
        <rFont val="Arial"/>
        <family val="2"/>
      </rPr>
      <t>Cameroun</t>
    </r>
  </si>
  <si>
    <t>21,7</t>
  </si>
  <si>
    <t>11,28</t>
  </si>
  <si>
    <t>31,34444</t>
  </si>
  <si>
    <r>
      <t> </t>
    </r>
    <r>
      <rPr>
        <sz val="11"/>
        <color rgb="FF0645AD"/>
        <rFont val="Arial"/>
        <family val="2"/>
      </rPr>
      <t>Corée du Nord</t>
    </r>
  </si>
  <si>
    <t>−0,57</t>
  </si>
  <si>
    <t>24,76</t>
  </si>
  <si>
    <t>−14,11</t>
  </si>
  <si>
    <t>12,69744</t>
  </si>
  <si>
    <r>
      <t> </t>
    </r>
    <r>
      <rPr>
        <sz val="11"/>
        <color rgb="FF0645AD"/>
        <rFont val="Arial"/>
        <family val="2"/>
      </rPr>
      <t>Inde</t>
    </r>
  </si>
  <si>
    <t>1,16</t>
  </si>
  <si>
    <t>−0,71</t>
  </si>
  <si>
    <t>1236,69</t>
  </si>
  <si>
    <t>−878,05</t>
  </si>
  <si>
    <t>479,7504</t>
  </si>
  <si>
    <r>
      <t> </t>
    </r>
    <r>
      <rPr>
        <sz val="11"/>
        <color rgb="FF0645AD"/>
        <rFont val="Arial"/>
        <family val="2"/>
      </rPr>
      <t>Nigeria</t>
    </r>
  </si>
  <si>
    <t>−0,47</t>
  </si>
  <si>
    <t>168,83</t>
  </si>
  <si>
    <t>−79,35</t>
  </si>
  <si>
    <t>101,8802</t>
  </si>
  <si>
    <r>
      <t> </t>
    </r>
    <r>
      <rPr>
        <sz val="11"/>
        <color rgb="FF0645AD"/>
        <rFont val="Arial"/>
        <family val="2"/>
      </rPr>
      <t>Togo</t>
    </r>
  </si>
  <si>
    <t>0,53</t>
  </si>
  <si>
    <t>−0,6</t>
  </si>
  <si>
    <t>6,64</t>
  </si>
  <si>
    <t>−3,98</t>
  </si>
  <si>
    <t>3,114336</t>
  </si>
  <si>
    <r>
      <t> </t>
    </r>
    <r>
      <rPr>
        <sz val="11"/>
        <color rgb="FF0645AD"/>
        <rFont val="Arial"/>
        <family val="2"/>
      </rPr>
      <t>Philippines</t>
    </r>
  </si>
  <si>
    <t>96,71</t>
  </si>
  <si>
    <t>−54,16</t>
  </si>
  <si>
    <t>47,47582</t>
  </si>
  <si>
    <r>
      <t> </t>
    </r>
    <r>
      <rPr>
        <sz val="11"/>
        <color rgb="FF0645AD"/>
        <rFont val="Arial"/>
        <family val="2"/>
      </rPr>
      <t>Comores</t>
    </r>
  </si>
  <si>
    <t>−0,7</t>
  </si>
  <si>
    <t>−0,50</t>
  </si>
  <si>
    <t>0,223689</t>
  </si>
  <si>
    <r>
      <t> </t>
    </r>
    <r>
      <rPr>
        <sz val="11"/>
        <color rgb="FF0645AD"/>
        <rFont val="Arial"/>
        <family val="2"/>
      </rPr>
      <t>Gambie</t>
    </r>
  </si>
  <si>
    <t>0,82</t>
  </si>
  <si>
    <t>−0,21</t>
  </si>
  <si>
    <t>1,79</t>
  </si>
  <si>
    <t>1,425049</t>
  </si>
  <si>
    <r>
      <t> </t>
    </r>
    <r>
      <rPr>
        <sz val="11"/>
        <color rgb="FF0645AD"/>
        <rFont val="Arial"/>
        <family val="2"/>
      </rPr>
      <t>Kenya</t>
    </r>
  </si>
  <si>
    <t>43,18</t>
  </si>
  <si>
    <t>−22,45</t>
  </si>
  <si>
    <t>21,38039</t>
  </si>
  <si>
    <r>
      <t> </t>
    </r>
    <r>
      <rPr>
        <sz val="11"/>
        <color rgb="FF0645AD"/>
        <rFont val="Arial"/>
        <family val="2"/>
      </rPr>
      <t>Yémen</t>
    </r>
  </si>
  <si>
    <t>23,85</t>
  </si>
  <si>
    <t>−12,64</t>
  </si>
  <si>
    <t>11,57767</t>
  </si>
  <si>
    <r>
      <t> </t>
    </r>
    <r>
      <rPr>
        <sz val="11"/>
        <color rgb="FF0645AD"/>
        <rFont val="Arial"/>
        <family val="2"/>
      </rPr>
      <t>Éthiopie</t>
    </r>
  </si>
  <si>
    <t>−0,44</t>
  </si>
  <si>
    <t>91,73</t>
  </si>
  <si>
    <t>−40,36</t>
  </si>
  <si>
    <t>52,1602</t>
  </si>
  <si>
    <r>
      <t> </t>
    </r>
    <r>
      <rPr>
        <sz val="11"/>
        <color rgb="FF0645AD"/>
        <rFont val="Arial"/>
        <family val="2"/>
      </rPr>
      <t>Madagascar</t>
    </r>
  </si>
  <si>
    <t>2,63</t>
  </si>
  <si>
    <t>1,64</t>
  </si>
  <si>
    <t>22,29</t>
  </si>
  <si>
    <t>36,56</t>
  </si>
  <si>
    <t>59,21485</t>
  </si>
  <si>
    <r>
      <t> </t>
    </r>
    <r>
      <rPr>
        <sz val="11"/>
        <color rgb="FF0645AD"/>
        <rFont val="Arial"/>
        <family val="2"/>
      </rPr>
      <t>Zambie</t>
    </r>
  </si>
  <si>
    <t>14,08</t>
  </si>
  <si>
    <t>31,71556</t>
  </si>
  <si>
    <r>
      <t> </t>
    </r>
    <r>
      <rPr>
        <sz val="11"/>
        <color rgb="FF0645AD"/>
        <rFont val="Arial"/>
        <family val="2"/>
      </rPr>
      <t>Népal</t>
    </r>
  </si>
  <si>
    <t>27,47</t>
  </si>
  <si>
    <t>−10,44</t>
  </si>
  <si>
    <t>16,53806</t>
  </si>
  <si>
    <r>
      <t> </t>
    </r>
    <r>
      <rPr>
        <sz val="11"/>
        <color rgb="FF0645AD"/>
        <rFont val="Arial"/>
        <family val="2"/>
      </rPr>
      <t>Angola</t>
    </r>
  </si>
  <si>
    <t>2,55</t>
  </si>
  <si>
    <t>20,82</t>
  </si>
  <si>
    <t>35,52</t>
  </si>
  <si>
    <t>57,0871</t>
  </si>
  <si>
    <r>
      <t> </t>
    </r>
    <r>
      <rPr>
        <sz val="11"/>
        <color rgb="FF0645AD"/>
        <rFont val="Arial"/>
        <family val="2"/>
      </rPr>
      <t>Tadjikistan</t>
    </r>
  </si>
  <si>
    <t>0,91</t>
  </si>
  <si>
    <t>8,01</t>
  </si>
  <si>
    <t>−3,04</t>
  </si>
  <si>
    <t>4,665165</t>
  </si>
  <si>
    <r>
      <t> </t>
    </r>
    <r>
      <rPr>
        <sz val="11"/>
        <color rgb="FF0645AD"/>
        <rFont val="Arial"/>
        <family val="2"/>
      </rPr>
      <t>Mozambique</t>
    </r>
  </si>
  <si>
    <t>25,2</t>
  </si>
  <si>
    <t>59,66897</t>
  </si>
  <si>
    <r>
      <t> </t>
    </r>
    <r>
      <rPr>
        <sz val="11"/>
        <color rgb="FF0645AD"/>
        <rFont val="Arial"/>
        <family val="2"/>
      </rPr>
      <t>Rwanda</t>
    </r>
  </si>
  <si>
    <t>11,46</t>
  </si>
  <si>
    <t>−3,67</t>
  </si>
  <si>
    <t>7,113103</t>
  </si>
  <si>
    <r>
      <t> </t>
    </r>
    <r>
      <rPr>
        <sz val="11"/>
        <color rgb="FF0645AD"/>
        <rFont val="Arial"/>
        <family val="2"/>
      </rPr>
      <t>République démocratique du Congo</t>
    </r>
  </si>
  <si>
    <t>65,7</t>
  </si>
  <si>
    <t>147,83</t>
  </si>
  <si>
    <t>245,9744</t>
  </si>
  <si>
    <r>
      <t> </t>
    </r>
    <r>
      <rPr>
        <sz val="11"/>
        <color rgb="FF0645AD"/>
        <rFont val="Arial"/>
        <family val="2"/>
      </rPr>
      <t>Malawi</t>
    </r>
  </si>
  <si>
    <t>0,81</t>
  </si>
  <si>
    <t>0,66</t>
  </si>
  <si>
    <t>−0,15</t>
  </si>
  <si>
    <t>15,91</t>
  </si>
  <si>
    <t>−2,39</t>
  </si>
  <si>
    <t>12,9637</t>
  </si>
  <si>
    <r>
      <t> </t>
    </r>
    <r>
      <rPr>
        <sz val="11"/>
        <color rgb="FF0645AD"/>
        <rFont val="Arial"/>
        <family val="2"/>
      </rPr>
      <t>Burundi</t>
    </r>
  </si>
  <si>
    <t>−0,48</t>
  </si>
  <si>
    <t>9,85</t>
  </si>
  <si>
    <t>−4,73</t>
  </si>
  <si>
    <t>3,94</t>
  </si>
  <si>
    <r>
      <t> </t>
    </r>
    <r>
      <rPr>
        <sz val="11"/>
        <color rgb="FF0645AD"/>
        <rFont val="Arial"/>
        <family val="2"/>
      </rPr>
      <t>Afghanistan</t>
    </r>
  </si>
  <si>
    <t>0,79</t>
  </si>
  <si>
    <t>−0,3</t>
  </si>
  <si>
    <t>29,82</t>
  </si>
  <si>
    <t>−8,95</t>
  </si>
  <si>
    <t>18,87342</t>
  </si>
  <si>
    <r>
      <t> </t>
    </r>
    <r>
      <rPr>
        <sz val="11"/>
        <color rgb="FF0645AD"/>
        <rFont val="Arial"/>
        <family val="2"/>
      </rPr>
      <t>Pakistan</t>
    </r>
  </si>
  <si>
    <t>179,16</t>
  </si>
  <si>
    <t>−78,83</t>
  </si>
  <si>
    <t>79,37468</t>
  </si>
  <si>
    <r>
      <t> </t>
    </r>
    <r>
      <rPr>
        <sz val="11"/>
        <color rgb="FF0645AD"/>
        <rFont val="Arial"/>
        <family val="2"/>
      </rPr>
      <t>Bangladesh</t>
    </r>
  </si>
  <si>
    <t>0,38</t>
  </si>
  <si>
    <t>154,7</t>
  </si>
  <si>
    <t>−54,15</t>
  </si>
  <si>
    <t>81,64722</t>
  </si>
  <si>
    <r>
      <t> </t>
    </r>
    <r>
      <rPr>
        <sz val="11"/>
        <color rgb="FF0645AD"/>
        <rFont val="Arial"/>
        <family val="2"/>
      </rPr>
      <t>Haïti</t>
    </r>
  </si>
  <si>
    <t>10,17</t>
  </si>
  <si>
    <t>−3,46</t>
  </si>
  <si>
    <t>4,501475</t>
  </si>
  <si>
    <r>
      <t> </t>
    </r>
    <r>
      <rPr>
        <sz val="11"/>
        <color rgb="FF0645AD"/>
        <rFont val="Arial"/>
        <family val="2"/>
      </rPr>
      <t>Timor oriental</t>
    </r>
  </si>
  <si>
    <t>0,48</t>
  </si>
  <si>
    <t>1,11</t>
  </si>
  <si>
    <t>1,44</t>
  </si>
  <si>
    <t>4,11625</t>
  </si>
  <si>
    <r>
      <t> </t>
    </r>
    <r>
      <rPr>
        <sz val="11"/>
        <color rgb="FF0645AD"/>
        <rFont val="Arial"/>
        <family val="2"/>
      </rPr>
      <t>Érythrée</t>
    </r>
  </si>
  <si>
    <t>6,13</t>
  </si>
  <si>
    <t>5,39</t>
  </si>
  <si>
    <t>16,26327</t>
  </si>
  <si>
    <t>Population (en millions) si biocapacité = empreinte écologique*</t>
  </si>
  <si>
    <r>
      <t> </t>
    </r>
    <r>
      <rPr>
        <sz val="11"/>
        <color rgb="FF0645AD"/>
        <rFont val="Calibri"/>
        <family val="2"/>
        <scheme val="minor"/>
      </rPr>
      <t>Qatar</t>
    </r>
  </si>
  <si>
    <t>30,36</t>
  </si>
  <si>
    <r>
      <t> </t>
    </r>
    <r>
      <rPr>
        <sz val="11"/>
        <color rgb="FF0645AD"/>
        <rFont val="Calibri"/>
        <family val="2"/>
        <scheme val="minor"/>
      </rPr>
      <t>Curaçao</t>
    </r>
  </si>
  <si>
    <t>23,28</t>
  </si>
  <si>
    <r>
      <t> </t>
    </r>
    <r>
      <rPr>
        <sz val="11"/>
        <color rgb="FF0645AD"/>
        <rFont val="Calibri"/>
        <family val="2"/>
        <scheme val="minor"/>
      </rPr>
      <t>Koweït</t>
    </r>
  </si>
  <si>
    <t>21,61</t>
  </si>
  <si>
    <r>
      <t> </t>
    </r>
    <r>
      <rPr>
        <sz val="11"/>
        <color rgb="FF0645AD"/>
        <rFont val="Calibri"/>
        <family val="2"/>
        <scheme val="minor"/>
      </rPr>
      <t>Émirats arabes unis</t>
    </r>
  </si>
  <si>
    <t>20,91</t>
  </si>
  <si>
    <r>
      <t> </t>
    </r>
    <r>
      <rPr>
        <sz val="11"/>
        <color rgb="FF0645AD"/>
        <rFont val="Calibri"/>
        <family val="2"/>
        <scheme val="minor"/>
      </rPr>
      <t>Gibraltar</t>
    </r>
  </si>
  <si>
    <t>20,70</t>
  </si>
  <si>
    <r>
      <t> </t>
    </r>
    <r>
      <rPr>
        <sz val="11"/>
        <color rgb="FF0645AD"/>
        <rFont val="Calibri"/>
        <family val="2"/>
        <scheme val="minor"/>
      </rPr>
      <t>Bahreïn</t>
    </r>
  </si>
  <si>
    <t>13,15</t>
  </si>
  <si>
    <t>19,97</t>
  </si>
  <si>
    <r>
      <t> </t>
    </r>
    <r>
      <rPr>
        <sz val="11"/>
        <color rgb="FF0645AD"/>
        <rFont val="Calibri"/>
        <family val="2"/>
        <scheme val="minor"/>
      </rPr>
      <t>Arabie saoudite</t>
    </r>
  </si>
  <si>
    <t>16,16</t>
  </si>
  <si>
    <t>15,64</t>
  </si>
  <si>
    <r>
      <t> </t>
    </r>
    <r>
      <rPr>
        <sz val="11"/>
        <color rgb="FF0645AD"/>
        <rFont val="Calibri"/>
        <family val="2"/>
        <scheme val="minor"/>
      </rPr>
      <t>Australie</t>
    </r>
  </si>
  <si>
    <t>15,63</t>
  </si>
  <si>
    <r>
      <t> </t>
    </r>
    <r>
      <rPr>
        <sz val="11"/>
        <color rgb="FF0645AD"/>
        <rFont val="Calibri"/>
        <family val="2"/>
        <scheme val="minor"/>
      </rPr>
      <t>Canada</t>
    </r>
  </si>
  <si>
    <t>14,99</t>
  </si>
  <si>
    <r>
      <t> </t>
    </r>
    <r>
      <rPr>
        <sz val="11"/>
        <color rgb="FF0645AD"/>
        <rFont val="Calibri"/>
        <family val="2"/>
        <scheme val="minor"/>
      </rPr>
      <t>États-Unis</t>
    </r>
  </si>
  <si>
    <t>14,61</t>
  </si>
  <si>
    <r>
      <t> </t>
    </r>
    <r>
      <rPr>
        <sz val="11"/>
        <color rgb="FF0645AD"/>
        <rFont val="Calibri"/>
        <family val="2"/>
        <scheme val="minor"/>
      </rPr>
      <t>Luxembourg</t>
    </r>
  </si>
  <si>
    <t>14,51</t>
  </si>
  <si>
    <r>
      <t> </t>
    </r>
    <r>
      <rPr>
        <sz val="11"/>
        <color rgb="FF0645AD"/>
        <rFont val="Calibri"/>
        <family val="2"/>
        <scheme val="minor"/>
      </rPr>
      <t>Oman</t>
    </r>
  </si>
  <si>
    <t>6,67</t>
  </si>
  <si>
    <t>14,13</t>
  </si>
  <si>
    <r>
      <t> </t>
    </r>
    <r>
      <rPr>
        <sz val="11"/>
        <color rgb="FF0645AD"/>
        <rFont val="Calibri"/>
        <family val="2"/>
        <scheme val="minor"/>
      </rPr>
      <t>Trinité-et-Tobago</t>
    </r>
  </si>
  <si>
    <t>6,51</t>
  </si>
  <si>
    <r>
      <t> </t>
    </r>
    <r>
      <rPr>
        <sz val="11"/>
        <color rgb="FF0645AD"/>
        <rFont val="Calibri"/>
        <family val="2"/>
        <scheme val="minor"/>
      </rPr>
      <t>Kazakhstan</t>
    </r>
  </si>
  <si>
    <t>12,92</t>
  </si>
  <si>
    <r>
      <t> </t>
    </r>
    <r>
      <rPr>
        <sz val="11"/>
        <color rgb="FF0645AD"/>
        <rFont val="Calibri"/>
        <family val="2"/>
        <scheme val="minor"/>
      </rPr>
      <t>Turkménistan</t>
    </r>
  </si>
  <si>
    <t>12,18</t>
  </si>
  <si>
    <r>
      <t> </t>
    </r>
    <r>
      <rPr>
        <sz val="11"/>
        <color rgb="FF0645AD"/>
        <rFont val="Calibri"/>
        <family val="2"/>
        <scheme val="minor"/>
      </rPr>
      <t>Estonie</t>
    </r>
  </si>
  <si>
    <t>12,14</t>
  </si>
  <si>
    <r>
      <t> </t>
    </r>
    <r>
      <rPr>
        <sz val="11"/>
        <color rgb="FF0645AD"/>
        <rFont val="Calibri"/>
        <family val="2"/>
        <scheme val="minor"/>
      </rPr>
      <t>Corée du Sud</t>
    </r>
  </si>
  <si>
    <t>3,82</t>
  </si>
  <si>
    <t>11,66</t>
  </si>
  <si>
    <r>
      <t> </t>
    </r>
    <r>
      <rPr>
        <sz val="11"/>
        <color rgb="FF0645AD"/>
        <rFont val="Calibri"/>
        <family val="2"/>
        <scheme val="minor"/>
      </rPr>
      <t>Taïwan</t>
    </r>
  </si>
  <si>
    <t>2,00</t>
  </si>
  <si>
    <t>11,38</t>
  </si>
  <si>
    <r>
      <t> </t>
    </r>
    <r>
      <rPr>
        <sz val="11"/>
        <color rgb="FF0645AD"/>
        <rFont val="Calibri"/>
        <family val="2"/>
        <scheme val="minor"/>
      </rPr>
      <t>Russie</t>
    </r>
  </si>
  <si>
    <t>10,64</t>
  </si>
  <si>
    <r>
      <t> </t>
    </r>
    <r>
      <rPr>
        <sz val="11"/>
        <color rgb="FF0645AD"/>
        <rFont val="Calibri"/>
        <family val="2"/>
        <scheme val="minor"/>
      </rPr>
      <t>Tchéquie</t>
    </r>
  </si>
  <si>
    <t>9,60</t>
  </si>
  <si>
    <r>
      <t> </t>
    </r>
    <r>
      <rPr>
        <sz val="11"/>
        <color rgb="FF0645AD"/>
        <rFont val="Calibri"/>
        <family val="2"/>
        <scheme val="minor"/>
      </rPr>
      <t>Pays-Bas</t>
    </r>
  </si>
  <si>
    <r>
      <t> </t>
    </r>
    <r>
      <rPr>
        <sz val="11"/>
        <color rgb="FF0645AD"/>
        <rFont val="Calibri"/>
        <family val="2"/>
        <scheme val="minor"/>
      </rPr>
      <t>Japon</t>
    </r>
  </si>
  <si>
    <t>8,94</t>
  </si>
  <si>
    <r>
      <t> </t>
    </r>
    <r>
      <rPr>
        <sz val="11"/>
        <color rgb="FF0645AD"/>
        <rFont val="Calibri"/>
        <family val="2"/>
        <scheme val="minor"/>
      </rPr>
      <t>Allemagne</t>
    </r>
  </si>
  <si>
    <t>8,70</t>
  </si>
  <si>
    <r>
      <t> </t>
    </r>
    <r>
      <rPr>
        <sz val="11"/>
        <color rgb="FF0645AD"/>
        <rFont val="Calibri"/>
        <family val="2"/>
        <scheme val="minor"/>
      </rPr>
      <t>Singapour</t>
    </r>
  </si>
  <si>
    <t>8,45</t>
  </si>
  <si>
    <r>
      <t> </t>
    </r>
    <r>
      <rPr>
        <sz val="11"/>
        <color rgb="FF0645AD"/>
        <rFont val="Calibri"/>
        <family val="2"/>
        <scheme val="minor"/>
      </rPr>
      <t>Belgique</t>
    </r>
  </si>
  <si>
    <t>7,96</t>
  </si>
  <si>
    <r>
      <t> </t>
    </r>
    <r>
      <rPr>
        <sz val="11"/>
        <color rgb="FF0645AD"/>
        <rFont val="Calibri"/>
        <family val="2"/>
        <scheme val="minor"/>
      </rPr>
      <t>Pologne</t>
    </r>
  </si>
  <si>
    <r>
      <t> </t>
    </r>
    <r>
      <rPr>
        <sz val="11"/>
        <color rgb="FF0645AD"/>
        <rFont val="Calibri"/>
        <family val="2"/>
        <scheme val="minor"/>
      </rPr>
      <t>Finlande</t>
    </r>
  </si>
  <si>
    <t>7,73</t>
  </si>
  <si>
    <r>
      <t> </t>
    </r>
    <r>
      <rPr>
        <sz val="11"/>
        <color rgb="FF0645AD"/>
        <rFont val="Calibri"/>
        <family val="2"/>
        <scheme val="minor"/>
      </rPr>
      <t>Chypre</t>
    </r>
  </si>
  <si>
    <t>7,45</t>
  </si>
  <si>
    <r>
      <t> </t>
    </r>
    <r>
      <rPr>
        <sz val="11"/>
        <color rgb="FF0645AD"/>
        <rFont val="Calibri"/>
        <family val="2"/>
        <scheme val="minor"/>
      </rPr>
      <t>Irlande</t>
    </r>
  </si>
  <si>
    <r>
      <t> </t>
    </r>
    <r>
      <rPr>
        <sz val="11"/>
        <color rgb="FF0645AD"/>
        <rFont val="Calibri"/>
        <family val="2"/>
        <scheme val="minor"/>
      </rPr>
      <t>Afrique du Sud</t>
    </r>
  </si>
  <si>
    <t>6,27</t>
  </si>
  <si>
    <t>7,43</t>
  </si>
  <si>
    <r>
      <t> </t>
    </r>
    <r>
      <rPr>
        <sz val="11"/>
        <color rgb="FF0645AD"/>
        <rFont val="Calibri"/>
        <family val="2"/>
        <scheme val="minor"/>
      </rPr>
      <t>Autriche</t>
    </r>
  </si>
  <si>
    <t>7,38</t>
  </si>
  <si>
    <r>
      <t> </t>
    </r>
    <r>
      <rPr>
        <sz val="11"/>
        <color rgb="FF0645AD"/>
        <rFont val="Calibri"/>
        <family val="2"/>
        <scheme val="minor"/>
      </rPr>
      <t>Israël</t>
    </r>
  </si>
  <si>
    <t>7,32</t>
  </si>
  <si>
    <r>
      <t> </t>
    </r>
    <r>
      <rPr>
        <sz val="11"/>
        <color rgb="FF0645AD"/>
        <rFont val="Calibri"/>
        <family val="2"/>
        <scheme val="minor"/>
      </rPr>
      <t>Iran</t>
    </r>
  </si>
  <si>
    <t>6,99</t>
  </si>
  <si>
    <r>
      <t> </t>
    </r>
    <r>
      <rPr>
        <sz val="11"/>
        <color rgb="FF0645AD"/>
        <rFont val="Calibri"/>
        <family val="2"/>
        <scheme val="minor"/>
      </rPr>
      <t>Chine</t>
    </r>
  </si>
  <si>
    <t>1,12</t>
  </si>
  <si>
    <t>1,55</t>
  </si>
  <si>
    <t>6,68</t>
  </si>
  <si>
    <r>
      <t> </t>
    </r>
    <r>
      <rPr>
        <sz val="11"/>
        <color rgb="FF0645AD"/>
        <rFont val="Calibri"/>
        <family val="2"/>
        <scheme val="minor"/>
      </rPr>
      <t>Malaisie</t>
    </r>
  </si>
  <si>
    <r>
      <t> </t>
    </r>
    <r>
      <rPr>
        <sz val="11"/>
        <color rgb="FF0645AD"/>
        <rFont val="Calibri"/>
        <family val="2"/>
        <scheme val="minor"/>
      </rPr>
      <t>Nouvelle-Zélande</t>
    </r>
  </si>
  <si>
    <t>4,71</t>
  </si>
  <si>
    <r>
      <t> </t>
    </r>
    <r>
      <rPr>
        <sz val="11"/>
        <color rgb="FF0645AD"/>
        <rFont val="Calibri"/>
        <family val="2"/>
        <scheme val="minor"/>
      </rPr>
      <t>Norvège</t>
    </r>
  </si>
  <si>
    <t>6,59</t>
  </si>
  <si>
    <r>
      <t> </t>
    </r>
    <r>
      <rPr>
        <sz val="11"/>
        <color rgb="FF0645AD"/>
        <rFont val="Calibri"/>
        <family val="2"/>
        <scheme val="minor"/>
      </rPr>
      <t>Slovénie</t>
    </r>
  </si>
  <si>
    <t>6,58</t>
  </si>
  <si>
    <r>
      <t> </t>
    </r>
    <r>
      <rPr>
        <sz val="11"/>
        <color rgb="FF0645AD"/>
        <rFont val="Calibri"/>
        <family val="2"/>
        <scheme val="minor"/>
      </rPr>
      <t>Serbie</t>
    </r>
  </si>
  <si>
    <t>6,57</t>
  </si>
  <si>
    <r>
      <t> </t>
    </r>
    <r>
      <rPr>
        <sz val="11"/>
        <color rgb="FF0645AD"/>
        <rFont val="Calibri"/>
        <family val="2"/>
        <scheme val="minor"/>
      </rPr>
      <t>Libye</t>
    </r>
  </si>
  <si>
    <r>
      <t> </t>
    </r>
    <r>
      <rPr>
        <sz val="11"/>
        <color rgb="FF0645AD"/>
        <rFont val="Calibri"/>
        <family val="2"/>
        <scheme val="minor"/>
      </rPr>
      <t>Bosnie-Herzégovine</t>
    </r>
  </si>
  <si>
    <t>6,37</t>
  </si>
  <si>
    <r>
      <t> </t>
    </r>
    <r>
      <rPr>
        <sz val="11"/>
        <color rgb="FF0645AD"/>
        <rFont val="Calibri"/>
        <family val="2"/>
        <scheme val="minor"/>
      </rPr>
      <t>Islande</t>
    </r>
  </si>
  <si>
    <t>6,34</t>
  </si>
  <si>
    <r>
      <t> </t>
    </r>
    <r>
      <rPr>
        <sz val="11"/>
        <color rgb="FF0645AD"/>
        <rFont val="Calibri"/>
        <family val="2"/>
        <scheme val="minor"/>
      </rPr>
      <t>Mongolie</t>
    </r>
  </si>
  <si>
    <t>5,88</t>
  </si>
  <si>
    <t>3,74</t>
  </si>
  <si>
    <r>
      <t> </t>
    </r>
    <r>
      <rPr>
        <sz val="11"/>
        <color rgb="FF0645AD"/>
        <rFont val="Calibri"/>
        <family val="2"/>
        <scheme val="minor"/>
      </rPr>
      <t>Bulgarie</t>
    </r>
  </si>
  <si>
    <t>6,05</t>
  </si>
  <si>
    <r>
      <t> </t>
    </r>
    <r>
      <rPr>
        <sz val="11"/>
        <color rgb="FF0645AD"/>
        <rFont val="Calibri"/>
        <family val="2"/>
        <scheme val="minor"/>
      </rPr>
      <t>Hong Kong</t>
    </r>
  </si>
  <si>
    <t>5,96</t>
  </si>
  <si>
    <r>
      <t> </t>
    </r>
    <r>
      <rPr>
        <sz val="11"/>
        <color rgb="FF0645AD"/>
        <rFont val="Calibri"/>
        <family val="2"/>
        <scheme val="minor"/>
      </rPr>
      <t>Slovaquie</t>
    </r>
  </si>
  <si>
    <t>5,43</t>
  </si>
  <si>
    <t>5,92</t>
  </si>
  <si>
    <r>
      <t> </t>
    </r>
    <r>
      <rPr>
        <sz val="11"/>
        <color rgb="FF0645AD"/>
        <rFont val="Calibri"/>
        <family val="2"/>
        <scheme val="minor"/>
      </rPr>
      <t>Grèce</t>
    </r>
  </si>
  <si>
    <r>
      <t> </t>
    </r>
    <r>
      <rPr>
        <sz val="11"/>
        <color rgb="FF0645AD"/>
        <rFont val="Calibri"/>
        <family val="2"/>
        <scheme val="minor"/>
      </rPr>
      <t>Biélorussie</t>
    </r>
  </si>
  <si>
    <r>
      <t> </t>
    </r>
    <r>
      <rPr>
        <sz val="11"/>
        <color rgb="FF0645AD"/>
        <rFont val="Calibri"/>
        <family val="2"/>
        <scheme val="minor"/>
      </rPr>
      <t>Espagne</t>
    </r>
  </si>
  <si>
    <t>3,44</t>
  </si>
  <si>
    <r>
      <t> </t>
    </r>
    <r>
      <rPr>
        <sz val="11"/>
        <color rgb="FF0645AD"/>
        <rFont val="Calibri"/>
        <family val="2"/>
        <scheme val="minor"/>
      </rPr>
      <t>Royaume-Uni</t>
    </r>
  </si>
  <si>
    <r>
      <t> </t>
    </r>
    <r>
      <rPr>
        <sz val="11"/>
        <color rgb="FF0645AD"/>
        <rFont val="Calibri"/>
        <family val="2"/>
        <scheme val="minor"/>
      </rPr>
      <t>Danemark</t>
    </r>
  </si>
  <si>
    <t>5,42</t>
  </si>
  <si>
    <r>
      <t> </t>
    </r>
    <r>
      <rPr>
        <sz val="11"/>
        <color rgb="FF0645AD"/>
        <rFont val="Calibri"/>
        <family val="2"/>
        <scheme val="minor"/>
      </rPr>
      <t>Italie</t>
    </r>
  </si>
  <si>
    <t>5,31</t>
  </si>
  <si>
    <r>
      <t> </t>
    </r>
    <r>
      <rPr>
        <sz val="11"/>
        <color rgb="FF0645AD"/>
        <rFont val="Calibri"/>
        <family val="2"/>
        <scheme val="minor"/>
      </rPr>
      <t>Portugal</t>
    </r>
  </si>
  <si>
    <t>4,93</t>
  </si>
  <si>
    <r>
      <t> </t>
    </r>
    <r>
      <rPr>
        <sz val="11"/>
        <color rgb="FF0645AD"/>
        <rFont val="Calibri"/>
        <family val="2"/>
        <scheme val="minor"/>
      </rPr>
      <t>Turquie</t>
    </r>
  </si>
  <si>
    <r>
      <t> </t>
    </r>
    <r>
      <rPr>
        <sz val="11"/>
        <color rgb="FF0645AD"/>
        <rFont val="Calibri"/>
        <family val="2"/>
        <scheme val="minor"/>
      </rPr>
      <t>Hongrie</t>
    </r>
  </si>
  <si>
    <t>4,68</t>
  </si>
  <si>
    <r>
      <t> </t>
    </r>
    <r>
      <rPr>
        <sz val="11"/>
        <color rgb="FF0645AD"/>
        <rFont val="Calibri"/>
        <family val="2"/>
        <scheme val="minor"/>
      </rPr>
      <t>Chili</t>
    </r>
  </si>
  <si>
    <r>
      <t> </t>
    </r>
    <r>
      <rPr>
        <sz val="11"/>
        <color rgb="FF0645AD"/>
        <rFont val="Calibri"/>
        <family val="2"/>
        <scheme val="minor"/>
      </rPr>
      <t>France</t>
    </r>
  </si>
  <si>
    <t>4,39</t>
  </si>
  <si>
    <t>4,56</t>
  </si>
  <si>
    <r>
      <t> </t>
    </r>
    <r>
      <rPr>
        <sz val="11"/>
        <color rgb="FF0645AD"/>
        <rFont val="Calibri"/>
        <family val="2"/>
        <scheme val="minor"/>
      </rPr>
      <t>Kosovo</t>
    </r>
  </si>
  <si>
    <r>
      <t> </t>
    </r>
    <r>
      <rPr>
        <sz val="11"/>
        <color rgb="FF0645AD"/>
        <rFont val="Calibri"/>
        <family val="2"/>
        <scheme val="minor"/>
      </rPr>
      <t>Liban</t>
    </r>
  </si>
  <si>
    <t>2,04</t>
  </si>
  <si>
    <t>4,43</t>
  </si>
  <si>
    <r>
      <t> </t>
    </r>
    <r>
      <rPr>
        <sz val="11"/>
        <color rgb="FF0645AD"/>
        <rFont val="Calibri"/>
        <family val="2"/>
        <scheme val="minor"/>
      </rPr>
      <t>Suisse</t>
    </r>
  </si>
  <si>
    <r>
      <t> </t>
    </r>
    <r>
      <rPr>
        <sz val="11"/>
        <color rgb="FF0645AD"/>
        <rFont val="Calibri"/>
        <family val="2"/>
        <scheme val="minor"/>
      </rPr>
      <t>Argentine</t>
    </r>
  </si>
  <si>
    <t>4,14</t>
  </si>
  <si>
    <r>
      <t> </t>
    </r>
    <r>
      <rPr>
        <sz val="11"/>
        <color rgb="FF0645AD"/>
        <rFont val="Calibri"/>
        <family val="2"/>
        <scheme val="minor"/>
      </rPr>
      <t>Croatie</t>
    </r>
  </si>
  <si>
    <r>
      <t> </t>
    </r>
    <r>
      <rPr>
        <sz val="11"/>
        <color rgb="FF0645AD"/>
        <rFont val="Calibri"/>
        <family val="2"/>
        <scheme val="minor"/>
      </rPr>
      <t>Lituanie</t>
    </r>
  </si>
  <si>
    <r>
      <t> </t>
    </r>
    <r>
      <rPr>
        <sz val="11"/>
        <color rgb="FF0645AD"/>
        <rFont val="Calibri"/>
        <family val="2"/>
        <scheme val="minor"/>
      </rPr>
      <t>Ukraine</t>
    </r>
  </si>
  <si>
    <r>
      <t> </t>
    </r>
    <r>
      <rPr>
        <sz val="11"/>
        <color rgb="FF0645AD"/>
        <rFont val="Calibri"/>
        <family val="2"/>
        <scheme val="minor"/>
      </rPr>
      <t>Suède</t>
    </r>
  </si>
  <si>
    <r>
      <t> </t>
    </r>
    <r>
      <rPr>
        <sz val="11"/>
        <color rgb="FF0645AD"/>
        <rFont val="Calibri"/>
        <family val="2"/>
        <scheme val="minor"/>
      </rPr>
      <t>Irak</t>
    </r>
  </si>
  <si>
    <t>3,61</t>
  </si>
  <si>
    <r>
      <t> </t>
    </r>
    <r>
      <rPr>
        <sz val="11"/>
        <color rgb="FF0645AD"/>
        <rFont val="Calibri"/>
        <family val="2"/>
        <scheme val="minor"/>
      </rPr>
      <t>Mexique</t>
    </r>
  </si>
  <si>
    <t>3,62</t>
  </si>
  <si>
    <r>
      <t> </t>
    </r>
    <r>
      <rPr>
        <sz val="11"/>
        <color rgb="FF0645AD"/>
        <rFont val="Calibri"/>
        <family val="2"/>
        <scheme val="minor"/>
      </rPr>
      <t>Roumanie</t>
    </r>
  </si>
  <si>
    <r>
      <t> </t>
    </r>
    <r>
      <rPr>
        <sz val="11"/>
        <color rgb="FF0645AD"/>
        <rFont val="Calibri"/>
        <family val="2"/>
        <scheme val="minor"/>
      </rPr>
      <t>Macédoine du Nord</t>
    </r>
  </si>
  <si>
    <r>
      <t> </t>
    </r>
    <r>
      <rPr>
        <sz val="11"/>
        <color rgb="FF0645AD"/>
        <rFont val="Calibri"/>
        <family val="2"/>
        <scheme val="minor"/>
      </rPr>
      <t>Venezuela</t>
    </r>
  </si>
  <si>
    <t>3,56</t>
  </si>
  <si>
    <r>
      <t> </t>
    </r>
    <r>
      <rPr>
        <sz val="11"/>
        <color rgb="FF0645AD"/>
        <rFont val="Calibri"/>
        <family val="2"/>
        <scheme val="minor"/>
      </rPr>
      <t>Monténégro</t>
    </r>
  </si>
  <si>
    <t>3,55</t>
  </si>
  <si>
    <r>
      <t> </t>
    </r>
    <r>
      <rPr>
        <sz val="11"/>
        <color rgb="FF0645AD"/>
        <rFont val="Calibri"/>
        <family val="2"/>
        <scheme val="minor"/>
      </rPr>
      <t>Thaïlande</t>
    </r>
  </si>
  <si>
    <t>3,54</t>
  </si>
  <si>
    <r>
      <t> </t>
    </r>
    <r>
      <rPr>
        <sz val="11"/>
        <color rgb="FF0645AD"/>
        <rFont val="Calibri"/>
        <family val="2"/>
        <scheme val="minor"/>
      </rPr>
      <t>Lettonie</t>
    </r>
  </si>
  <si>
    <r>
      <t> </t>
    </r>
    <r>
      <rPr>
        <sz val="11"/>
        <color rgb="FF0645AD"/>
        <rFont val="Calibri"/>
        <family val="2"/>
        <scheme val="minor"/>
      </rPr>
      <t>Suriname</t>
    </r>
  </si>
  <si>
    <t>3,42</t>
  </si>
  <si>
    <r>
      <t> </t>
    </r>
    <r>
      <rPr>
        <sz val="11"/>
        <color rgb="FF0645AD"/>
        <rFont val="Calibri"/>
        <family val="2"/>
        <scheme val="minor"/>
      </rPr>
      <t>Botswana</t>
    </r>
  </si>
  <si>
    <t>3,37</t>
  </si>
  <si>
    <r>
      <t> </t>
    </r>
    <r>
      <rPr>
        <sz val="11"/>
        <color rgb="FF0645AD"/>
        <rFont val="Calibri"/>
        <family val="2"/>
        <scheme val="minor"/>
      </rPr>
      <t>Maurice</t>
    </r>
  </si>
  <si>
    <r>
      <t> </t>
    </r>
    <r>
      <rPr>
        <sz val="11"/>
        <color rgb="FF0645AD"/>
        <rFont val="Calibri"/>
        <family val="2"/>
        <scheme val="minor"/>
      </rPr>
      <t>Malte</t>
    </r>
  </si>
  <si>
    <t>2,14</t>
  </si>
  <si>
    <r>
      <t> </t>
    </r>
    <r>
      <rPr>
        <sz val="11"/>
        <color rgb="FF0645AD"/>
        <rFont val="Calibri"/>
        <family val="2"/>
        <scheme val="minor"/>
      </rPr>
      <t>Algérie</t>
    </r>
  </si>
  <si>
    <t>1,98</t>
  </si>
  <si>
    <r>
      <t> </t>
    </r>
    <r>
      <rPr>
        <sz val="11"/>
        <color rgb="FF0645AD"/>
        <rFont val="Calibri"/>
        <family val="2"/>
        <scheme val="minor"/>
      </rPr>
      <t>Azerbaïdjan</t>
    </r>
  </si>
  <si>
    <r>
      <t> </t>
    </r>
    <r>
      <rPr>
        <sz val="11"/>
        <color rgb="FF0645AD"/>
        <rFont val="Calibri"/>
        <family val="2"/>
        <scheme val="minor"/>
      </rPr>
      <t>Jordanie</t>
    </r>
  </si>
  <si>
    <r>
      <t> </t>
    </r>
    <r>
      <rPr>
        <sz val="11"/>
        <color rgb="FF0645AD"/>
        <rFont val="Calibri"/>
        <family val="2"/>
        <scheme val="minor"/>
      </rPr>
      <t>Ouzbékistan</t>
    </r>
  </si>
  <si>
    <t>2,51</t>
  </si>
  <si>
    <r>
      <t> </t>
    </r>
    <r>
      <rPr>
        <sz val="11"/>
        <color rgb="FF0645AD"/>
        <rFont val="Calibri"/>
        <family val="2"/>
        <scheme val="minor"/>
      </rPr>
      <t>Jamaïque</t>
    </r>
  </si>
  <si>
    <r>
      <t> </t>
    </r>
    <r>
      <rPr>
        <sz val="11"/>
        <color rgb="FF0645AD"/>
        <rFont val="Calibri"/>
        <family val="2"/>
        <scheme val="minor"/>
      </rPr>
      <t>Panama</t>
    </r>
  </si>
  <si>
    <t>1,59</t>
  </si>
  <si>
    <r>
      <t> </t>
    </r>
    <r>
      <rPr>
        <sz val="11"/>
        <color rgb="FF0645AD"/>
        <rFont val="Calibri"/>
        <family val="2"/>
        <scheme val="minor"/>
      </rPr>
      <t>Géorgie</t>
    </r>
  </si>
  <si>
    <r>
      <t> </t>
    </r>
    <r>
      <rPr>
        <sz val="11"/>
        <color rgb="FF0645AD"/>
        <rFont val="Calibri"/>
        <family val="2"/>
        <scheme val="minor"/>
      </rPr>
      <t>Cuba</t>
    </r>
  </si>
  <si>
    <r>
      <t> </t>
    </r>
    <r>
      <rPr>
        <sz val="11"/>
        <color rgb="FF0645AD"/>
        <rFont val="Calibri"/>
        <family val="2"/>
        <scheme val="minor"/>
      </rPr>
      <t>Tunisie</t>
    </r>
  </si>
  <si>
    <t>1,54</t>
  </si>
  <si>
    <r>
      <t> </t>
    </r>
    <r>
      <rPr>
        <sz val="11"/>
        <color rgb="FF0645AD"/>
        <rFont val="Calibri"/>
        <family val="2"/>
        <scheme val="minor"/>
      </rPr>
      <t>Égypte</t>
    </r>
  </si>
  <si>
    <r>
      <t> </t>
    </r>
    <r>
      <rPr>
        <sz val="11"/>
        <color rgb="FF0645AD"/>
        <rFont val="Calibri"/>
        <family val="2"/>
        <scheme val="minor"/>
      </rPr>
      <t>Moldavie</t>
    </r>
  </si>
  <si>
    <r>
      <t> </t>
    </r>
    <r>
      <rPr>
        <sz val="11"/>
        <color rgb="FF0645AD"/>
        <rFont val="Calibri"/>
        <family val="2"/>
        <scheme val="minor"/>
      </rPr>
      <t>Équateur</t>
    </r>
  </si>
  <si>
    <r>
      <t> </t>
    </r>
    <r>
      <rPr>
        <sz val="11"/>
        <color rgb="FF0645AD"/>
        <rFont val="Calibri"/>
        <family val="2"/>
        <scheme val="minor"/>
      </rPr>
      <t>Brésil</t>
    </r>
  </si>
  <si>
    <t>0,90</t>
  </si>
  <si>
    <r>
      <t> </t>
    </r>
    <r>
      <rPr>
        <sz val="11"/>
        <color rgb="FF0645AD"/>
        <rFont val="Calibri"/>
        <family val="2"/>
        <scheme val="minor"/>
      </rPr>
      <t>Viêt Nam</t>
    </r>
  </si>
  <si>
    <t>0,30</t>
  </si>
  <si>
    <t>0,26</t>
  </si>
  <si>
    <r>
      <t> </t>
    </r>
    <r>
      <rPr>
        <sz val="11"/>
        <color rgb="FF0645AD"/>
        <rFont val="Calibri"/>
        <family val="2"/>
        <scheme val="minor"/>
      </rPr>
      <t>République dominicaine</t>
    </r>
  </si>
  <si>
    <t>1,99</t>
  </si>
  <si>
    <r>
      <t> </t>
    </r>
    <r>
      <rPr>
        <sz val="11"/>
        <color rgb="FF0645AD"/>
        <rFont val="Calibri"/>
        <family val="2"/>
        <scheme val="minor"/>
      </rPr>
      <t>Bolivie</t>
    </r>
  </si>
  <si>
    <t>1,70</t>
  </si>
  <si>
    <r>
      <t> </t>
    </r>
    <r>
      <rPr>
        <sz val="11"/>
        <color rgb="FF0645AD"/>
        <rFont val="Calibri"/>
        <family val="2"/>
        <scheme val="minor"/>
      </rPr>
      <t>Indonésie</t>
    </r>
  </si>
  <si>
    <t>1,76</t>
  </si>
  <si>
    <r>
      <t> </t>
    </r>
    <r>
      <rPr>
        <sz val="11"/>
        <color rgb="FF0645AD"/>
        <rFont val="Calibri"/>
        <family val="2"/>
        <scheme val="minor"/>
      </rPr>
      <t>Arménie</t>
    </r>
  </si>
  <si>
    <r>
      <t> </t>
    </r>
    <r>
      <rPr>
        <sz val="11"/>
        <color rgb="FF0645AD"/>
        <rFont val="Calibri"/>
        <family val="2"/>
        <scheme val="minor"/>
      </rPr>
      <t>Uruguay</t>
    </r>
  </si>
  <si>
    <r>
      <t> </t>
    </r>
    <r>
      <rPr>
        <sz val="11"/>
        <color rgb="FF0645AD"/>
        <rFont val="Calibri"/>
        <family val="2"/>
        <scheme val="minor"/>
      </rPr>
      <t>Gabon</t>
    </r>
  </si>
  <si>
    <r>
      <t> </t>
    </r>
    <r>
      <rPr>
        <sz val="11"/>
        <color rgb="FF0645AD"/>
        <rFont val="Calibri"/>
        <family val="2"/>
        <scheme val="minor"/>
      </rPr>
      <t>Maroc</t>
    </r>
  </si>
  <si>
    <r>
      <t> </t>
    </r>
    <r>
      <rPr>
        <sz val="11"/>
        <color rgb="FF0645AD"/>
        <rFont val="Calibri"/>
        <family val="2"/>
        <scheme val="minor"/>
      </rPr>
      <t>Inde</t>
    </r>
  </si>
  <si>
    <r>
      <t> </t>
    </r>
    <r>
      <rPr>
        <sz val="11"/>
        <color rgb="FF0645AD"/>
        <rFont val="Calibri"/>
        <family val="2"/>
        <scheme val="minor"/>
      </rPr>
      <t>Namibie</t>
    </r>
  </si>
  <si>
    <r>
      <t> </t>
    </r>
    <r>
      <rPr>
        <sz val="11"/>
        <color rgb="FF0645AD"/>
        <rFont val="Calibri"/>
        <family val="2"/>
        <scheme val="minor"/>
      </rPr>
      <t>Costa Rica</t>
    </r>
  </si>
  <si>
    <t>0,67</t>
  </si>
  <si>
    <r>
      <t> </t>
    </r>
    <r>
      <rPr>
        <sz val="11"/>
        <color rgb="FF0645AD"/>
        <rFont val="Calibri"/>
        <family val="2"/>
        <scheme val="minor"/>
      </rPr>
      <t>Pérou</t>
    </r>
  </si>
  <si>
    <r>
      <t> </t>
    </r>
    <r>
      <rPr>
        <sz val="11"/>
        <color rgb="FF0645AD"/>
        <rFont val="Calibri"/>
        <family val="2"/>
        <scheme val="minor"/>
      </rPr>
      <t>Colombie</t>
    </r>
  </si>
  <si>
    <r>
      <t> </t>
    </r>
    <r>
      <rPr>
        <sz val="11"/>
        <color rgb="FF0645AD"/>
        <rFont val="Calibri"/>
        <family val="2"/>
        <scheme val="minor"/>
      </rPr>
      <t>Albanie</t>
    </r>
  </si>
  <si>
    <r>
      <t> </t>
    </r>
    <r>
      <rPr>
        <sz val="11"/>
        <color rgb="FF0645AD"/>
        <rFont val="Calibri"/>
        <family val="2"/>
        <scheme val="minor"/>
      </rPr>
      <t>Kirghizistan</t>
    </r>
  </si>
  <si>
    <r>
      <t> </t>
    </r>
    <r>
      <rPr>
        <sz val="11"/>
        <color rgb="FF0645AD"/>
        <rFont val="Calibri"/>
        <family val="2"/>
        <scheme val="minor"/>
      </rPr>
      <t>Syrie</t>
    </r>
  </si>
  <si>
    <r>
      <t> </t>
    </r>
    <r>
      <rPr>
        <sz val="11"/>
        <color rgb="FF0645AD"/>
        <rFont val="Calibri"/>
        <family val="2"/>
        <scheme val="minor"/>
      </rPr>
      <t>Philippines</t>
    </r>
  </si>
  <si>
    <r>
      <t> </t>
    </r>
    <r>
      <rPr>
        <sz val="11"/>
        <color rgb="FF0645AD"/>
        <rFont val="Calibri"/>
        <family val="2"/>
        <scheme val="minor"/>
      </rPr>
      <t>Paraguay</t>
    </r>
  </si>
  <si>
    <t>0,42</t>
  </si>
  <si>
    <r>
      <t> </t>
    </r>
    <r>
      <rPr>
        <sz val="11"/>
        <color rgb="FF0645AD"/>
        <rFont val="Calibri"/>
        <family val="2"/>
        <scheme val="minor"/>
      </rPr>
      <t>Sri Lanka</t>
    </r>
  </si>
  <si>
    <r>
      <t> </t>
    </r>
    <r>
      <rPr>
        <sz val="11"/>
        <color rgb="FF0645AD"/>
        <rFont val="Calibri"/>
        <family val="2"/>
        <scheme val="minor"/>
      </rPr>
      <t>Honduras</t>
    </r>
  </si>
  <si>
    <r>
      <t> </t>
    </r>
    <r>
      <rPr>
        <sz val="11"/>
        <color rgb="FF0645AD"/>
        <rFont val="Calibri"/>
        <family val="2"/>
        <scheme val="minor"/>
      </rPr>
      <t>Guatemala</t>
    </r>
  </si>
  <si>
    <r>
      <t> </t>
    </r>
    <r>
      <rPr>
        <sz val="11"/>
        <color rgb="FF0645AD"/>
        <rFont val="Calibri"/>
        <family val="2"/>
        <scheme val="minor"/>
      </rPr>
      <t>Pakistan</t>
    </r>
  </si>
  <si>
    <r>
      <t> </t>
    </r>
    <r>
      <rPr>
        <sz val="11"/>
        <color rgb="FF0645AD"/>
        <rFont val="Calibri"/>
        <family val="2"/>
        <scheme val="minor"/>
      </rPr>
      <t>Salvador</t>
    </r>
  </si>
  <si>
    <r>
      <t> </t>
    </r>
    <r>
      <rPr>
        <sz val="11"/>
        <color rgb="FF0645AD"/>
        <rFont val="Calibri"/>
        <family val="2"/>
        <scheme val="minor"/>
      </rPr>
      <t>Nicaragua</t>
    </r>
  </si>
  <si>
    <r>
      <t> </t>
    </r>
    <r>
      <rPr>
        <sz val="11"/>
        <color rgb="FF0645AD"/>
        <rFont val="Calibri"/>
        <family val="2"/>
        <scheme val="minor"/>
      </rPr>
      <t>Corée du Nord</t>
    </r>
  </si>
  <si>
    <r>
      <t> </t>
    </r>
    <r>
      <rPr>
        <sz val="11"/>
        <color rgb="FF0645AD"/>
        <rFont val="Calibri"/>
        <family val="2"/>
        <scheme val="minor"/>
      </rPr>
      <t>Cambodge</t>
    </r>
  </si>
  <si>
    <r>
      <t> </t>
    </r>
    <r>
      <rPr>
        <sz val="11"/>
        <color rgb="FF0645AD"/>
        <rFont val="Calibri"/>
        <family val="2"/>
        <scheme val="minor"/>
      </rPr>
      <t>Tadjikistan</t>
    </r>
  </si>
  <si>
    <r>
      <t> </t>
    </r>
    <r>
      <rPr>
        <sz val="11"/>
        <color rgb="FF0645AD"/>
        <rFont val="Calibri"/>
        <family val="2"/>
        <scheme val="minor"/>
      </rPr>
      <t>Angola</t>
    </r>
  </si>
  <si>
    <r>
      <t> </t>
    </r>
    <r>
      <rPr>
        <sz val="11"/>
        <color rgb="FF0645AD"/>
        <rFont val="Calibri"/>
        <family val="2"/>
        <scheme val="minor"/>
      </rPr>
      <t>Bénin</t>
    </r>
  </si>
  <si>
    <t>0,10</t>
  </si>
  <si>
    <r>
      <t> </t>
    </r>
    <r>
      <rPr>
        <sz val="11"/>
        <color rgb="FF0645AD"/>
        <rFont val="Calibri"/>
        <family val="2"/>
        <scheme val="minor"/>
      </rPr>
      <t>Zimbabwe</t>
    </r>
  </si>
  <si>
    <r>
      <t> </t>
    </r>
    <r>
      <rPr>
        <sz val="11"/>
        <color rgb="FF0645AD"/>
        <rFont val="Calibri"/>
        <family val="2"/>
        <scheme val="minor"/>
      </rPr>
      <t>Birmanie</t>
    </r>
  </si>
  <si>
    <r>
      <t> </t>
    </r>
    <r>
      <rPr>
        <sz val="11"/>
        <color rgb="FF0645AD"/>
        <rFont val="Calibri"/>
        <family val="2"/>
        <scheme val="minor"/>
      </rPr>
      <t>République du Congo</t>
    </r>
  </si>
  <si>
    <r>
      <t> </t>
    </r>
    <r>
      <rPr>
        <sz val="11"/>
        <color rgb="FF0645AD"/>
        <rFont val="Calibri"/>
        <family val="2"/>
        <scheme val="minor"/>
      </rPr>
      <t>Sénégal</t>
    </r>
  </si>
  <si>
    <r>
      <t> </t>
    </r>
    <r>
      <rPr>
        <sz val="11"/>
        <color rgb="FF0645AD"/>
        <rFont val="Calibri"/>
        <family val="2"/>
        <scheme val="minor"/>
      </rPr>
      <t>Ghana</t>
    </r>
  </si>
  <si>
    <r>
      <t> </t>
    </r>
    <r>
      <rPr>
        <sz val="11"/>
        <color rgb="FF0645AD"/>
        <rFont val="Calibri"/>
        <family val="2"/>
        <scheme val="minor"/>
      </rPr>
      <t>Bangladesh</t>
    </r>
  </si>
  <si>
    <r>
      <t> </t>
    </r>
    <r>
      <rPr>
        <sz val="11"/>
        <color rgb="FF0645AD"/>
        <rFont val="Calibri"/>
        <family val="2"/>
        <scheme val="minor"/>
      </rPr>
      <t>Soudan</t>
    </r>
  </si>
  <si>
    <r>
      <t> </t>
    </r>
    <r>
      <rPr>
        <sz val="11"/>
        <color rgb="FF0645AD"/>
        <rFont val="Calibri"/>
        <family val="2"/>
        <scheme val="minor"/>
      </rPr>
      <t>Papouasie-Nouvelle-Guinée</t>
    </r>
  </si>
  <si>
    <t>nd</t>
  </si>
  <si>
    <r>
      <t> </t>
    </r>
    <r>
      <rPr>
        <sz val="11"/>
        <color rgb="FF0645AD"/>
        <rFont val="Calibri"/>
        <family val="2"/>
        <scheme val="minor"/>
      </rPr>
      <t>Nigeria</t>
    </r>
  </si>
  <si>
    <r>
      <t> </t>
    </r>
    <r>
      <rPr>
        <sz val="11"/>
        <color rgb="FF0645AD"/>
        <rFont val="Calibri"/>
        <family val="2"/>
        <scheme val="minor"/>
      </rPr>
      <t>Côte d'Ivoire</t>
    </r>
  </si>
  <si>
    <r>
      <t> </t>
    </r>
    <r>
      <rPr>
        <sz val="11"/>
        <color rgb="FF0645AD"/>
        <rFont val="Calibri"/>
        <family val="2"/>
        <scheme val="minor"/>
      </rPr>
      <t>Népal</t>
    </r>
  </si>
  <si>
    <t>0,12</t>
  </si>
  <si>
    <r>
      <t> </t>
    </r>
    <r>
      <rPr>
        <sz val="11"/>
        <color rgb="FF0645AD"/>
        <rFont val="Calibri"/>
        <family val="2"/>
        <scheme val="minor"/>
      </rPr>
      <t>Zambie</t>
    </r>
  </si>
  <si>
    <r>
      <t> </t>
    </r>
    <r>
      <rPr>
        <sz val="11"/>
        <color rgb="FF0645AD"/>
        <rFont val="Calibri"/>
        <family val="2"/>
        <scheme val="minor"/>
      </rPr>
      <t>Kenya</t>
    </r>
  </si>
  <si>
    <r>
      <t> </t>
    </r>
    <r>
      <rPr>
        <sz val="11"/>
        <color rgb="FF0645AD"/>
        <rFont val="Calibri"/>
        <family val="2"/>
        <scheme val="minor"/>
      </rPr>
      <t>Yémen</t>
    </r>
  </si>
  <si>
    <r>
      <t> </t>
    </r>
    <r>
      <rPr>
        <sz val="11"/>
        <color rgb="FF0645AD"/>
        <rFont val="Calibri"/>
        <family val="2"/>
        <scheme val="minor"/>
      </rPr>
      <t>Haïti</t>
    </r>
  </si>
  <si>
    <r>
      <t> </t>
    </r>
    <r>
      <rPr>
        <sz val="11"/>
        <color rgb="FF0645AD"/>
        <rFont val="Calibri"/>
        <family val="2"/>
        <scheme val="minor"/>
      </rPr>
      <t>Togo</t>
    </r>
  </si>
  <si>
    <r>
      <t> </t>
    </r>
    <r>
      <rPr>
        <sz val="11"/>
        <color rgb="FF0645AD"/>
        <rFont val="Calibri"/>
        <family val="2"/>
        <scheme val="minor"/>
      </rPr>
      <t>Cameroun</t>
    </r>
  </si>
  <si>
    <r>
      <t> </t>
    </r>
    <r>
      <rPr>
        <sz val="11"/>
        <color rgb="FF0645AD"/>
        <rFont val="Calibri"/>
        <family val="2"/>
        <scheme val="minor"/>
      </rPr>
      <t>Mozambique</t>
    </r>
  </si>
  <si>
    <r>
      <t> </t>
    </r>
    <r>
      <rPr>
        <sz val="11"/>
        <color rgb="FF0645AD"/>
        <rFont val="Calibri"/>
        <family val="2"/>
        <scheme val="minor"/>
      </rPr>
      <t>Tanzanie</t>
    </r>
  </si>
  <si>
    <r>
      <t> </t>
    </r>
    <r>
      <rPr>
        <sz val="11"/>
        <color rgb="FF0645AD"/>
        <rFont val="Calibri"/>
        <family val="2"/>
        <scheme val="minor"/>
      </rPr>
      <t>Érythrée</t>
    </r>
  </si>
  <si>
    <r>
      <t> </t>
    </r>
    <r>
      <rPr>
        <sz val="11"/>
        <color rgb="FF0645AD"/>
        <rFont val="Calibri"/>
        <family val="2"/>
        <scheme val="minor"/>
      </rPr>
      <t>Soudan du Sud</t>
    </r>
  </si>
  <si>
    <r>
      <t> </t>
    </r>
    <r>
      <rPr>
        <sz val="11"/>
        <color rgb="FF0645AD"/>
        <rFont val="Calibri"/>
        <family val="2"/>
        <scheme val="minor"/>
      </rPr>
      <t>Éthiopie</t>
    </r>
  </si>
  <si>
    <r>
      <t> </t>
    </r>
    <r>
      <rPr>
        <sz val="11"/>
        <color rgb="FF0645AD"/>
        <rFont val="Calibri"/>
        <family val="2"/>
        <scheme val="minor"/>
      </rPr>
      <t>Niger</t>
    </r>
  </si>
  <si>
    <r>
      <t> </t>
    </r>
    <r>
      <rPr>
        <sz val="11"/>
        <color rgb="FF0645AD"/>
        <rFont val="Calibri"/>
        <family val="2"/>
        <scheme val="minor"/>
      </rPr>
      <t>République démocratique du Congo</t>
    </r>
  </si>
  <si>
    <t>-</t>
  </si>
  <si>
    <r>
      <t> </t>
    </r>
    <r>
      <rPr>
        <sz val="11"/>
        <color rgb="FF0645AD"/>
        <rFont val="Calibri"/>
        <family val="2"/>
        <scheme val="minor"/>
      </rPr>
      <t>Union soviétique</t>
    </r>
  </si>
  <si>
    <r>
      <t> </t>
    </r>
    <r>
      <rPr>
        <sz val="11"/>
        <color rgb="FF0645AD"/>
        <rFont val="Arial"/>
        <family val="2"/>
      </rPr>
      <t>Yougoslavie</t>
    </r>
  </si>
  <si>
    <t>tCO2e</t>
  </si>
  <si>
    <t>tCo2e</t>
  </si>
  <si>
    <t>ALL</t>
  </si>
  <si>
    <t>(automatique)</t>
  </si>
  <si>
    <t>Bravotitre</t>
  </si>
  <si>
    <t>Bravotext</t>
  </si>
  <si>
    <t>Scoreglobal  </t>
  </si>
  <si>
    <t>Maxscoreglobal  </t>
  </si>
  <si>
    <t>Scorewater  </t>
  </si>
  <si>
    <t>Litres</t>
  </si>
  <si>
    <t>Maxscorewater  </t>
  </si>
  <si>
    <t>Scorepollution  </t>
  </si>
  <si>
    <t>Kg</t>
  </si>
  <si>
    <t>Maxscorepollution  </t>
  </si>
  <si>
    <t>Depassementnombreplanetes  </t>
  </si>
  <si>
    <t>Jourdepassementavec  </t>
  </si>
  <si>
    <t>Jourdepassementsans  </t>
  </si>
  <si>
    <t>(Dev automatisation en cours)</t>
  </si>
  <si>
    <t>tCO2e à date</t>
  </si>
  <si>
    <t>tCO2e max espace</t>
  </si>
  <si>
    <t>tCO2e objectif</t>
  </si>
  <si>
    <t>tCO2 France</t>
  </si>
  <si>
    <t>DEBLOCAGE ANIMAUX</t>
  </si>
  <si>
    <t>Loup</t>
  </si>
  <si>
    <t>Lion</t>
  </si>
  <si>
    <t>Ours</t>
  </si>
  <si>
    <t>Poisson</t>
  </si>
  <si>
    <t>Thon</t>
  </si>
  <si>
    <t>Requin</t>
  </si>
  <si>
    <t>Baleine</t>
  </si>
  <si>
    <t>Nb Jours gagnés /l'an dernier</t>
  </si>
  <si>
    <r>
      <t xml:space="preserve">BRAVO les enfants !
Vous avez réussi à débloquer tous ensemble le </t>
    </r>
    <r>
      <rPr>
        <b/>
        <sz val="11"/>
        <color theme="1"/>
        <rFont val="Calibri"/>
        <family val="2"/>
        <scheme val="minor"/>
      </rPr>
      <t>LION</t>
    </r>
    <r>
      <rPr>
        <sz val="11"/>
        <color theme="1"/>
        <rFont val="Calibri"/>
        <family val="2"/>
        <scheme val="minor"/>
      </rPr>
      <t xml:space="preserve">. Cela signifie que toutes ces petites actions que vous effectuez chaque jour ont permis d'économiser 4.2 tCO2e et que si tout le monde faisait comme vous, le jour du dépassement arriverait 7 jours plus tard que l'année dernière. Un grand pas pour la planète !
Pour aller plus loin, trouvez de nouvelles actions encore impactantes. Un indice : que pouvons-nous changer dans notre alimentation ?
Vous pouvez aussi voir le </t>
    </r>
    <r>
      <rPr>
        <b/>
        <i/>
        <sz val="11"/>
        <color theme="1"/>
        <rFont val="Calibri"/>
        <family val="2"/>
        <scheme val="minor"/>
      </rPr>
      <t>Terre-momètre</t>
    </r>
    <r>
      <rPr>
        <sz val="11"/>
        <color theme="1"/>
        <rFont val="Calibri"/>
        <family val="2"/>
        <scheme val="minor"/>
      </rPr>
      <t xml:space="preserve"> des toutes les écoles qui jouent en cliquant ici
A vous de jouer!!!</t>
    </r>
  </si>
  <si>
    <t>Pas de déblocage</t>
  </si>
  <si>
    <t>tonnes</t>
  </si>
  <si>
    <t>Moy./enfant</t>
  </si>
  <si>
    <t>m3</t>
  </si>
  <si>
    <t>Moy /espace (tCO2e)</t>
  </si>
  <si>
    <t>All</t>
  </si>
  <si>
    <t>Eco. gaz à effet de serre</t>
  </si>
  <si>
    <t>Eco. Eau</t>
  </si>
  <si>
    <t>Eco. Déchets</t>
  </si>
  <si>
    <t>S</t>
  </si>
  <si>
    <t>Terre-momètre</t>
  </si>
  <si>
    <t>Economie kgCO2e</t>
  </si>
  <si>
    <t>Economie kgCO2e (moy. par joueur)</t>
  </si>
  <si>
    <t>Economie kgCO2e (prorata joueurs)</t>
  </si>
  <si>
    <t>kg</t>
  </si>
  <si>
    <t>kgCO2e</t>
  </si>
  <si>
    <t xml:space="preserve">NB semaines pour débloquer le </t>
  </si>
  <si>
    <t>Balan</t>
  </si>
  <si>
    <t>Mansart</t>
  </si>
  <si>
    <t>EOD</t>
  </si>
  <si>
    <t>Bronature</t>
  </si>
  <si>
    <t>Sosanimaux</t>
  </si>
  <si>
    <t>Sosvegetaux</t>
  </si>
  <si>
    <t>Eco-tCO2e</t>
  </si>
  <si>
    <t>N°</t>
  </si>
  <si>
    <t>Débloqué Sn</t>
  </si>
  <si>
    <t>Débloqué Sn-1</t>
  </si>
  <si>
    <t>Éléphant</t>
  </si>
  <si>
    <r>
      <t>Et vous avez aussi fait reculer le jour du dépassement de 2</t>
    </r>
    <r>
      <rPr>
        <b/>
        <sz val="11"/>
        <color theme="1"/>
        <rFont val="Calibri"/>
        <family val="2"/>
        <scheme val="minor"/>
      </rPr>
      <t> jours</t>
    </r>
    <r>
      <rPr>
        <sz val="11"/>
        <color theme="1"/>
        <rFont val="Calibri"/>
        <family val="2"/>
        <scheme val="minor"/>
      </rPr>
      <t>. Cela veut dire que si tout le monde faisait comme vous, les ressources de la planète serait consommées plus tard que l'année dernière. Un grand pas pour la planète !</t>
    </r>
  </si>
  <si>
    <t>+1 pour la fin</t>
  </si>
  <si>
    <t>+2 pour la fin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</si>
</sst>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 #,##0.00_-;_-* &quot;-&quot;??_-;_-@_-"/>
    <numFmt numFmtId="164" formatCode="_-* #,##0_-;\-* #,##0_-;_-* &quot;-&quot;??_-;_-@_-"/>
    <numFmt numFmtId="165" formatCode="#,##0.00&quot; °C&quot;"/>
    <numFmt numFmtId="166" formatCode="#,##0&quot; °C&quot;"/>
    <numFmt numFmtId="167" formatCode="#,##0.0"/>
    <numFmt numFmtId="168" formatCode="dd\ mmm"/>
    <numFmt numFmtId="169" formatCode="_-* #,##0.00\ _€_-;\-* #,##0.00\ _€_-;_-* &quot;-&quot;??\ _€_-;_-@_-"/>
    <numFmt numFmtId="170" formatCode="_-* #,##0\ _€_-;\-* #,##0\ _€_-;_-* &quot;-&quot;??\ _€_-;_-@_-"/>
    <numFmt numFmtId="171" formatCode="0.0"/>
    <numFmt numFmtId="172" formatCode="_-* #,##0.0_-;\-* #,##0.0_-;_-* &quot;-&quot;??_-;_-@_-"/>
    <numFmt numFmtId="173" formatCode="_-* #,##0.000_-;\-* #,##0.000_-;_-* &quot;-&quot;??_-;_-@_-"/>
    <numFmt numFmtId="174" formatCode="_-* #,##0.0000\ _€_-;\-* #,##0.0000\ _€_-;_-* &quot;-&quot;??\ _€_-;_-@_-"/>
  </numFmts>
  <fonts count="23" x14ac:knownFonts="1">
    <font>
      <sz val="11"/>
      <color theme="1"/>
      <name val="Calibri"/>
      <family val="2"/>
      <scheme val="minor"/>
    </font>
    <font>
      <sz val="11"/>
      <color theme="1"/>
      <name val="Calibri"/>
      <family val="2"/>
      <scheme val="minor"/>
    </font>
    <font>
      <sz val="10"/>
      <color rgb="FF000000"/>
      <name val="Arial"/>
      <family val="2"/>
    </font>
    <font>
      <sz val="10"/>
      <color rgb="FF000000"/>
      <name val="Arial"/>
      <family val="2"/>
    </font>
    <font>
      <sz val="11"/>
      <color rgb="FF000000"/>
      <name val="Calibri"/>
      <family val="2"/>
      <charset val="1"/>
    </font>
    <font>
      <sz val="10"/>
      <color theme="1"/>
      <name val="Calibri"/>
      <family val="2"/>
      <scheme val="minor"/>
    </font>
    <font>
      <b/>
      <sz val="10"/>
      <color theme="1"/>
      <name val="Calibri"/>
      <family val="2"/>
      <scheme val="minor"/>
    </font>
    <font>
      <sz val="10"/>
      <color rgb="FF000000"/>
      <name val="Calibri"/>
      <family val="2"/>
      <scheme val="minor"/>
    </font>
    <font>
      <b/>
      <sz val="12"/>
      <color rgb="FF000000"/>
      <name val="Calibri"/>
      <family val="2"/>
      <scheme val="minor"/>
    </font>
    <font>
      <b/>
      <sz val="11"/>
      <color rgb="FF202122"/>
      <name val="Arial"/>
      <family val="2"/>
    </font>
    <font>
      <b/>
      <sz val="11"/>
      <color rgb="FF0645AD"/>
      <name val="Arial"/>
      <family val="2"/>
    </font>
    <font>
      <sz val="11"/>
      <color rgb="FF202122"/>
      <name val="Arial"/>
      <family val="2"/>
    </font>
    <font>
      <sz val="11"/>
      <color rgb="FF0645AD"/>
      <name val="Arial"/>
      <family val="2"/>
    </font>
    <font>
      <u/>
      <sz val="11"/>
      <color theme="10"/>
      <name val="Calibri"/>
      <family val="2"/>
      <scheme val="minor"/>
    </font>
    <font>
      <b/>
      <sz val="11"/>
      <color rgb="FF202122"/>
      <name val="Calibri"/>
      <family val="2"/>
      <scheme val="minor"/>
    </font>
    <font>
      <sz val="11"/>
      <color rgb="FF202122"/>
      <name val="Calibri"/>
      <family val="2"/>
      <scheme val="minor"/>
    </font>
    <font>
      <sz val="11"/>
      <color rgb="FF0645AD"/>
      <name val="Calibri"/>
      <family val="2"/>
      <scheme val="minor"/>
    </font>
    <font>
      <b/>
      <sz val="11"/>
      <color theme="1"/>
      <name val="Calibri"/>
      <family val="2"/>
      <scheme val="minor"/>
    </font>
    <font>
      <b/>
      <sz val="14"/>
      <color theme="1"/>
      <name val="Calibri"/>
      <family val="2"/>
      <scheme val="minor"/>
    </font>
    <font>
      <sz val="11"/>
      <color theme="0" tint="-0.499984740745262"/>
      <name val="Calibri"/>
      <family val="2"/>
      <scheme val="minor"/>
    </font>
    <font>
      <b/>
      <i/>
      <sz val="11"/>
      <color theme="1"/>
      <name val="Calibri"/>
      <family val="2"/>
      <scheme val="minor"/>
    </font>
    <font>
      <b/>
      <sz val="16"/>
      <color theme="0"/>
      <name val="Calibri"/>
      <family val="2"/>
      <scheme val="minor"/>
    </font>
    <font>
      <b/>
      <sz val="12"/>
      <color theme="1"/>
      <name val="Symbol"/>
      <family val="1"/>
      <charset val="2"/>
    </font>
  </fonts>
  <fills count="9">
    <fill>
      <patternFill patternType="none"/>
    </fill>
    <fill>
      <patternFill patternType="gray125"/>
    </fill>
    <fill>
      <patternFill patternType="solid">
        <fgColor theme="7" tint="0.39997558519241921"/>
        <bgColor indexed="64"/>
      </patternFill>
    </fill>
    <fill>
      <patternFill patternType="solid">
        <fgColor rgb="FFF8F9FA"/>
        <bgColor indexed="64"/>
      </patternFill>
    </fill>
    <fill>
      <patternFill patternType="solid">
        <fgColor rgb="FFEAECF0"/>
        <bgColor indexed="64"/>
      </patternFill>
    </fill>
    <fill>
      <patternFill patternType="solid">
        <fgColor rgb="FFFFFFFF"/>
        <bgColor indexed="64"/>
      </patternFill>
    </fill>
    <fill>
      <patternFill patternType="solid">
        <fgColor rgb="FF0070C0"/>
        <bgColor indexed="64"/>
      </patternFill>
    </fill>
    <fill>
      <patternFill patternType="solid">
        <fgColor theme="4"/>
        <bgColor indexed="64"/>
      </patternFill>
    </fill>
    <fill>
      <patternFill patternType="solid">
        <fgColor theme="9"/>
        <bgColor indexed="64"/>
      </patternFill>
    </fill>
  </fills>
  <borders count="5">
    <border>
      <left/>
      <right/>
      <top/>
      <bottom/>
      <diagonal/>
    </border>
    <border>
      <left style="medium">
        <color rgb="FFA2A9B1"/>
      </left>
      <right style="medium">
        <color rgb="FFA2A9B1"/>
      </right>
      <top style="medium">
        <color rgb="FFA2A9B1"/>
      </top>
      <bottom style="medium">
        <color rgb="FFA2A9B1"/>
      </bottom>
      <diagonal/>
    </border>
    <border>
      <left style="medium">
        <color rgb="FFA2A9B1"/>
      </left>
      <right style="medium">
        <color rgb="FFA2A9B1"/>
      </right>
      <top style="medium">
        <color rgb="FFA2A9B1"/>
      </top>
      <bottom/>
      <diagonal/>
    </border>
    <border>
      <left/>
      <right style="medium">
        <color rgb="FFA2A9B1"/>
      </right>
      <top style="medium">
        <color rgb="FFA2A9B1"/>
      </top>
      <bottom style="medium">
        <color rgb="FFA2A9B1"/>
      </bottom>
      <diagonal/>
    </border>
    <border>
      <left/>
      <right style="medium">
        <color rgb="FFA2A9B1"/>
      </right>
      <top/>
      <bottom style="medium">
        <color rgb="FFA2A9B1"/>
      </bottom>
      <diagonal/>
    </border>
  </borders>
  <cellStyleXfs count="6">
    <xf numFmtId="0" fontId="0" fillId="0" borderId="0"/>
    <xf numFmtId="43" fontId="1" fillId="0" borderId="0" applyFont="0" applyFill="0" applyBorder="0" applyAlignment="0" applyProtection="0"/>
    <xf numFmtId="0" fontId="2" fillId="0" borderId="0"/>
    <xf numFmtId="0" fontId="3" fillId="0" borderId="0"/>
    <xf numFmtId="0" fontId="4" fillId="0" borderId="0"/>
    <xf numFmtId="0" fontId="13" fillId="0" borderId="0" applyNumberFormat="0" applyFill="0" applyBorder="0" applyAlignment="0" applyProtection="0"/>
  </cellStyleXfs>
  <cellXfs count="77">
    <xf numFmtId="0" fontId="0" fillId="0" borderId="0" xfId="0"/>
    <xf numFmtId="0" fontId="0" fillId="0" borderId="0" xfId="0" applyAlignment="1">
      <alignment horizontal="center" vertical="center"/>
    </xf>
    <xf numFmtId="0" fontId="5" fillId="0" borderId="0" xfId="0" applyFont="1" applyAlignment="1">
      <alignment horizontal="center" vertical="center"/>
    </xf>
    <xf numFmtId="0" fontId="5" fillId="0" borderId="0" xfId="0" applyFont="1" applyAlignment="1">
      <alignment horizontal="left" vertical="center"/>
    </xf>
    <xf numFmtId="0" fontId="5" fillId="0" borderId="0" xfId="0" applyFont="1" applyAlignment="1">
      <alignment horizontal="left"/>
    </xf>
    <xf numFmtId="0" fontId="6" fillId="0" borderId="0" xfId="0" applyFont="1" applyAlignment="1">
      <alignment horizontal="center" vertical="center"/>
    </xf>
    <xf numFmtId="0" fontId="7" fillId="0" borderId="0" xfId="0" applyFont="1" applyAlignment="1">
      <alignment horizontal="center" vertical="center"/>
    </xf>
    <xf numFmtId="1" fontId="5" fillId="0" borderId="0" xfId="0" applyNumberFormat="1" applyFont="1" applyAlignment="1">
      <alignment horizontal="center" vertical="center"/>
    </xf>
    <xf numFmtId="164" fontId="5" fillId="0" borderId="0" xfId="1" applyNumberFormat="1" applyFont="1" applyAlignment="1">
      <alignment horizontal="center" vertical="center"/>
    </xf>
    <xf numFmtId="165" fontId="5" fillId="0" borderId="0" xfId="1" applyNumberFormat="1" applyFont="1" applyAlignment="1">
      <alignment horizontal="center" vertical="center"/>
    </xf>
    <xf numFmtId="165" fontId="6" fillId="2" borderId="0" xfId="1" applyNumberFormat="1" applyFont="1" applyFill="1" applyAlignment="1">
      <alignment horizontal="center" vertical="center"/>
    </xf>
    <xf numFmtId="166" fontId="5" fillId="0" borderId="0" xfId="1" applyNumberFormat="1" applyFont="1" applyAlignment="1">
      <alignment horizontal="center" vertical="center"/>
    </xf>
    <xf numFmtId="16" fontId="5" fillId="0" borderId="0" xfId="0" applyNumberFormat="1" applyFont="1" applyAlignment="1">
      <alignment horizontal="center" vertical="center"/>
    </xf>
    <xf numFmtId="0" fontId="8" fillId="0" borderId="0" xfId="4" applyFont="1" applyAlignment="1">
      <alignment horizontal="left" vertical="center"/>
    </xf>
    <xf numFmtId="0" fontId="9" fillId="4" borderId="2" xfId="0" applyFont="1" applyFill="1" applyBorder="1" applyAlignment="1">
      <alignment horizontal="center" vertical="center" wrapText="1"/>
    </xf>
    <xf numFmtId="0" fontId="10" fillId="4" borderId="2" xfId="0" applyFont="1" applyFill="1" applyBorder="1" applyAlignment="1">
      <alignment horizontal="center" vertical="center" wrapText="1"/>
    </xf>
    <xf numFmtId="0" fontId="13" fillId="4" borderId="2" xfId="5" applyFill="1" applyBorder="1" applyAlignment="1">
      <alignment horizontal="center" vertical="center" wrapText="1"/>
    </xf>
    <xf numFmtId="0" fontId="11" fillId="3" borderId="1" xfId="0" applyFont="1" applyFill="1" applyBorder="1" applyAlignment="1">
      <alignment vertical="center" wrapText="1"/>
    </xf>
    <xf numFmtId="0" fontId="0" fillId="0" borderId="0" xfId="0" applyAlignment="1">
      <alignment horizontal="center"/>
    </xf>
    <xf numFmtId="0" fontId="14" fillId="4" borderId="2" xfId="0" applyFont="1" applyFill="1" applyBorder="1" applyAlignment="1">
      <alignment horizontal="center" vertical="center" wrapText="1"/>
    </xf>
    <xf numFmtId="0" fontId="15" fillId="5" borderId="1" xfId="0" applyFont="1" applyFill="1" applyBorder="1" applyAlignment="1">
      <alignment vertical="center" wrapText="1"/>
    </xf>
    <xf numFmtId="0" fontId="15" fillId="5" borderId="1" xfId="0" applyFont="1" applyFill="1" applyBorder="1" applyAlignment="1">
      <alignment horizontal="left" vertical="center" wrapText="1"/>
    </xf>
    <xf numFmtId="0" fontId="11" fillId="5" borderId="1" xfId="0" applyFont="1" applyFill="1" applyBorder="1" applyAlignment="1">
      <alignment horizontal="right" vertical="center" wrapText="1"/>
    </xf>
    <xf numFmtId="0" fontId="11" fillId="5" borderId="1" xfId="0" applyFont="1" applyFill="1" applyBorder="1" applyAlignment="1">
      <alignment horizontal="left" vertical="center" wrapText="1"/>
    </xf>
    <xf numFmtId="0" fontId="0" fillId="3" borderId="4" xfId="0" applyFill="1" applyBorder="1"/>
    <xf numFmtId="0" fontId="14" fillId="4" borderId="3" xfId="0" applyFont="1" applyFill="1" applyBorder="1" applyAlignment="1">
      <alignment horizontal="center" vertical="center" wrapText="1"/>
    </xf>
    <xf numFmtId="0" fontId="14" fillId="4" borderId="2" xfId="0" applyFont="1" applyFill="1" applyBorder="1" applyAlignment="1">
      <alignment vertical="center" wrapText="1"/>
    </xf>
    <xf numFmtId="0" fontId="5" fillId="0" borderId="0" xfId="0" applyFont="1" applyAlignment="1">
      <alignment horizontal="right" vertical="center"/>
    </xf>
    <xf numFmtId="165" fontId="5" fillId="0" borderId="0" xfId="0" applyNumberFormat="1" applyFont="1" applyAlignment="1">
      <alignment horizontal="center" vertical="center"/>
    </xf>
    <xf numFmtId="0" fontId="18" fillId="0" borderId="0" xfId="0" applyFont="1"/>
    <xf numFmtId="0" fontId="17" fillId="0" borderId="0" xfId="0" applyFont="1" applyAlignment="1">
      <alignment horizontal="center" vertical="center"/>
    </xf>
    <xf numFmtId="0" fontId="0" fillId="0" borderId="0" xfId="0" applyAlignment="1">
      <alignment horizontal="left" vertical="center"/>
    </xf>
    <xf numFmtId="0" fontId="0" fillId="0" borderId="0" xfId="0" applyAlignment="1">
      <alignment horizontal="left" vertical="center" indent="1"/>
    </xf>
    <xf numFmtId="0" fontId="0" fillId="0" borderId="0" xfId="0" applyAlignment="1">
      <alignment horizontal="left" indent="1"/>
    </xf>
    <xf numFmtId="167" fontId="17" fillId="0" borderId="0" xfId="0" applyNumberFormat="1" applyFont="1" applyAlignment="1">
      <alignment horizontal="center" vertical="center"/>
    </xf>
    <xf numFmtId="0" fontId="19" fillId="0" borderId="0" xfId="0" applyFont="1" applyAlignment="1">
      <alignment horizontal="left" vertical="center"/>
    </xf>
    <xf numFmtId="4" fontId="17" fillId="0" borderId="0" xfId="0" applyNumberFormat="1" applyFont="1" applyAlignment="1">
      <alignment horizontal="center" vertical="center"/>
    </xf>
    <xf numFmtId="168" fontId="17" fillId="0" borderId="0" xfId="0" applyNumberFormat="1" applyFont="1" applyAlignment="1">
      <alignment horizontal="center" vertical="center"/>
    </xf>
    <xf numFmtId="167" fontId="0" fillId="0" borderId="0" xfId="0" applyNumberFormat="1" applyAlignment="1">
      <alignment horizontal="center" vertical="center"/>
    </xf>
    <xf numFmtId="169" fontId="5" fillId="0" borderId="0" xfId="0" applyNumberFormat="1" applyFont="1" applyAlignment="1">
      <alignment horizontal="left" vertical="center"/>
    </xf>
    <xf numFmtId="0" fontId="0" fillId="0" borderId="0" xfId="0" applyAlignment="1">
      <alignment wrapText="1"/>
    </xf>
    <xf numFmtId="0" fontId="5" fillId="0" borderId="0" xfId="0" applyFont="1" applyAlignment="1">
      <alignment horizontal="center"/>
    </xf>
    <xf numFmtId="0" fontId="17" fillId="0" borderId="0" xfId="0" applyFont="1" applyAlignment="1">
      <alignment horizontal="center"/>
    </xf>
    <xf numFmtId="170" fontId="5" fillId="0" borderId="0" xfId="0" applyNumberFormat="1" applyFont="1" applyAlignment="1">
      <alignment horizontal="center" vertical="center"/>
    </xf>
    <xf numFmtId="170" fontId="5" fillId="0" borderId="0" xfId="0" applyNumberFormat="1" applyFont="1" applyAlignment="1">
      <alignment horizontal="left" vertical="center"/>
    </xf>
    <xf numFmtId="168" fontId="19" fillId="0" borderId="0" xfId="0" applyNumberFormat="1" applyFont="1" applyAlignment="1">
      <alignment horizontal="left" vertical="center"/>
    </xf>
    <xf numFmtId="165" fontId="5" fillId="0" borderId="0" xfId="1" applyNumberFormat="1" applyFont="1" applyAlignment="1">
      <alignment horizontal="left" vertical="center"/>
    </xf>
    <xf numFmtId="173" fontId="5" fillId="0" borderId="0" xfId="1" applyNumberFormat="1" applyFont="1" applyAlignment="1">
      <alignment horizontal="center" vertical="center"/>
    </xf>
    <xf numFmtId="169" fontId="5" fillId="0" borderId="0" xfId="0" applyNumberFormat="1" applyFont="1" applyAlignment="1">
      <alignment horizontal="center" vertical="center"/>
    </xf>
    <xf numFmtId="172" fontId="6" fillId="2" borderId="0" xfId="1" applyNumberFormat="1" applyFont="1" applyFill="1" applyAlignment="1">
      <alignment horizontal="center" vertical="center"/>
    </xf>
    <xf numFmtId="3" fontId="17" fillId="0" borderId="0" xfId="0" applyNumberFormat="1" applyFont="1" applyAlignment="1">
      <alignment horizontal="center" vertical="center"/>
    </xf>
    <xf numFmtId="3" fontId="0" fillId="0" borderId="0" xfId="0" applyNumberFormat="1" applyAlignment="1">
      <alignment horizontal="center" vertical="center"/>
    </xf>
    <xf numFmtId="171" fontId="17" fillId="0" borderId="0" xfId="0" applyNumberFormat="1" applyFont="1" applyAlignment="1">
      <alignment horizontal="center" vertical="center"/>
    </xf>
    <xf numFmtId="173" fontId="5" fillId="0" borderId="0" xfId="0" applyNumberFormat="1" applyFont="1" applyAlignment="1">
      <alignment horizontal="left" vertical="center"/>
    </xf>
    <xf numFmtId="174" fontId="5" fillId="0" borderId="0" xfId="0" applyNumberFormat="1" applyFont="1" applyAlignment="1">
      <alignment horizontal="left" vertical="center"/>
    </xf>
    <xf numFmtId="171" fontId="0" fillId="0" borderId="0" xfId="0" applyNumberFormat="1"/>
    <xf numFmtId="1" fontId="6" fillId="0" borderId="0" xfId="0" applyNumberFormat="1" applyFont="1" applyAlignment="1">
      <alignment horizontal="center" vertical="center"/>
    </xf>
    <xf numFmtId="2" fontId="6" fillId="0" borderId="0" xfId="0" applyNumberFormat="1" applyFont="1" applyAlignment="1">
      <alignment horizontal="center" vertical="center"/>
    </xf>
    <xf numFmtId="171" fontId="5" fillId="0" borderId="0" xfId="0" applyNumberFormat="1" applyFont="1" applyAlignment="1">
      <alignment horizontal="center" vertical="center"/>
    </xf>
    <xf numFmtId="0" fontId="22" fillId="0" borderId="0" xfId="0" applyFont="1" applyAlignment="1">
      <alignment horizontal="right" vertical="center"/>
    </xf>
    <xf numFmtId="0" fontId="17" fillId="0" borderId="0" xfId="0" applyFont="1" applyAlignment="1">
      <alignment horizontal="right" vertical="center"/>
    </xf>
    <xf numFmtId="168" fontId="0" fillId="0" borderId="0" xfId="0" applyNumberFormat="1"/>
    <xf numFmtId="2" fontId="0" fillId="0" borderId="0" xfId="0" applyNumberFormat="1" applyAlignment="1">
      <alignment horizontal="center" vertical="center"/>
    </xf>
    <xf numFmtId="0" fontId="21" fillId="6" borderId="0" xfId="0" applyFont="1" applyFill="1" applyAlignment="1">
      <alignment horizontal="center"/>
    </xf>
    <xf numFmtId="2" fontId="5" fillId="0" borderId="0" xfId="0" applyNumberFormat="1" applyFont="1" applyAlignment="1">
      <alignment horizontal="center" vertical="center"/>
    </xf>
    <xf numFmtId="0" fontId="6" fillId="0" borderId="0" xfId="0" applyFont="1" applyAlignment="1">
      <alignment horizontal="right" vertical="center"/>
    </xf>
    <xf numFmtId="14" fontId="5" fillId="0" borderId="0" xfId="0" applyNumberFormat="1" applyFont="1" applyAlignment="1">
      <alignment horizontal="center" vertical="center"/>
    </xf>
    <xf numFmtId="0" fontId="6" fillId="7" borderId="0" xfId="0" applyFont="1" applyFill="1" applyAlignment="1">
      <alignment horizontal="center" vertical="center"/>
    </xf>
    <xf numFmtId="0" fontId="5" fillId="8" borderId="0" xfId="0" applyFont="1" applyFill="1" applyAlignment="1">
      <alignment horizontal="left" vertical="center"/>
    </xf>
    <xf numFmtId="165" fontId="6" fillId="0" borderId="0" xfId="1" applyNumberFormat="1" applyFont="1" applyAlignment="1">
      <alignment horizontal="center" vertical="center"/>
    </xf>
    <xf numFmtId="171" fontId="6" fillId="0" borderId="0" xfId="0" applyNumberFormat="1" applyFont="1" applyAlignment="1">
      <alignment horizontal="center" vertical="center"/>
    </xf>
    <xf numFmtId="170" fontId="6" fillId="0" borderId="0" xfId="0" applyNumberFormat="1" applyFont="1" applyAlignment="1">
      <alignment horizontal="center" vertical="center"/>
    </xf>
    <xf numFmtId="173" fontId="5" fillId="0" borderId="0" xfId="0" applyNumberFormat="1" applyFont="1" applyAlignment="1">
      <alignment horizontal="center" vertical="center"/>
    </xf>
    <xf numFmtId="164" fontId="5" fillId="0" borderId="0" xfId="0" applyNumberFormat="1" applyFont="1" applyAlignment="1">
      <alignment horizontal="center" vertical="center"/>
    </xf>
    <xf numFmtId="0" fontId="5" fillId="0" borderId="0" xfId="0" applyFont="1" applyAlignment="1">
      <alignment horizontal="center" vertical="center" wrapText="1"/>
    </xf>
    <xf numFmtId="0" fontId="0" fillId="0" borderId="0" xfId="0" quotePrefix="1"/>
    <xf numFmtId="2" fontId="0" fillId="0" borderId="0" xfId="0" applyNumberFormat="1" applyFont="1" applyAlignment="1">
      <alignment horizontal="center" vertical="center"/>
    </xf>
  </cellXfs>
  <cellStyles count="6">
    <cellStyle name="Lien hypertexte" xfId="5" builtinId="8"/>
    <cellStyle name="Milliers" xfId="1" builtinId="3"/>
    <cellStyle name="Normal" xfId="0" builtinId="0"/>
    <cellStyle name="Normal 2" xfId="3" xr:uid="{28F5AFD4-4FA2-4E60-9C5D-E4AEE3179E0A}"/>
    <cellStyle name="Normal 2 2" xfId="4" xr:uid="{752CDEAD-1C24-4FC4-A8D3-C4EEB73C16B0}"/>
    <cellStyle name="Normal 3" xfId="2" xr:uid="{BC57F8C2-1D3A-4CB3-8DBB-C703343A2ED6}"/>
  </cellStyles>
  <dxfs count="1">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externalLink" Target="externalLinks/externalLink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P:\02-Users\01-Professionnel\02-NNauru\01-Jeux\02-SOS%20Plan&#232;te\Appli%20SOS%20PLanete\01-Espaces%20Priv&#233;s\2024-2025\(Balan)%20-%20Calcul%20impact%20v4.3.xlsm" TargetMode="External"/><Relationship Id="rId1" Type="http://schemas.openxmlformats.org/officeDocument/2006/relationships/externalLinkPath" Target="(Balan)%20-%20Calcul%20impact%20v4.3.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P:\02-Users\01-Professionnel\02-NNauru\01-Jeux\02-SOS%20Plan&#232;te\Appli%20SOS%20PLanete\01-Espaces%20Priv&#233;s\2024-2025\(Bron)%20-%20Calcul%20impact%20v4.2.xlsm" TargetMode="External"/><Relationship Id="rId1" Type="http://schemas.openxmlformats.org/officeDocument/2006/relationships/externalLinkPath" Target="(Bron)%20-%20Calcul%20impact%20v4.2.xlsm"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P:\02-Users\01-Professionnel\02-NNauru\01-Jeux\02-SOS%20Plan&#232;te\Appli%20SOS%20PLanete\01-Espaces%20Priv&#233;s\2024-2025\(Mansart)%20-%20Calcul%20impact%20v4.2.xlsm" TargetMode="External"/><Relationship Id="rId1" Type="http://schemas.openxmlformats.org/officeDocument/2006/relationships/externalLinkPath" Target="(Mansart)%20-%20Calcul%20impact%20v4.2.xlsm"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P:\02-Users\01-Professionnel\02-NNauru\01-Jeux\02-SOS%20Plan&#232;te\Appli%20SOS%20PLanete\01-Espaces%20Priv&#233;s\2024-2025\(Neyron)%20-%20Calcul%20impact%20v4.2.xlsm" TargetMode="External"/><Relationship Id="rId1" Type="http://schemas.openxmlformats.org/officeDocument/2006/relationships/externalLinkPath" Target="(Neyron)%20-%20Calcul%20impact%20v4.2.xlsm"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P:\02-Users\01-Professionnel\02-NNauru\01-Jeux\02-SOS%20Plan&#232;te\Appli%20SOS%20PLanete\01-Espaces%20Priv&#233;s\2024-2025\(SOSAnimaux)%20-%20Calcul%20impact%20v4.2.xlsm" TargetMode="External"/><Relationship Id="rId1" Type="http://schemas.openxmlformats.org/officeDocument/2006/relationships/externalLinkPath" Target="(SOSAnimaux)%20-%20Calcul%20impact%20v4.2.xlsm"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P:\02-Users\01-Professionnel\02-NNauru\01-Jeux\02-SOS%20Plan&#232;te\Appli%20SOS%20PLanete\01-Espaces%20Priv&#233;s\2024-2025\(SOSVegetaux)%20-%20Calcul%20impact%20v4.2.xlsm" TargetMode="External"/><Relationship Id="rId1" Type="http://schemas.openxmlformats.org/officeDocument/2006/relationships/externalLinkPath" Target="(SOSVegetaux)%20-%20Calcul%20impact%20v4.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tage enfant-semaine"/>
      <sheetName val="Actions"/>
      <sheetName val="Déblocage animaux"/>
      <sheetName val="Synthèse Impact &amp; EOD"/>
      <sheetName val="exporttestng"/>
      <sheetName val="&lt; TCD"/>
      <sheetName val="Vérif &gt;"/>
      <sheetName val="ActionsEspace"/>
      <sheetName val="Actions modulées"/>
      <sheetName val="Liste Actions"/>
      <sheetName val="TCD &gt;"/>
      <sheetName val="Calcul economie actions"/>
      <sheetName val="Enfants"/>
      <sheetName val="(Balan) - Calcul impact v4.3"/>
    </sheetNames>
    <definedNames>
      <definedName name="Nb_Joueur" refersTo="='Actions'!$B$8"/>
    </definedNames>
    <sheetDataSet>
      <sheetData sheetId="0"/>
      <sheetData sheetId="1">
        <row r="8">
          <cell r="B8">
            <v>96</v>
          </cell>
        </row>
        <row r="12">
          <cell r="B12">
            <v>158966.40000000002</v>
          </cell>
        </row>
        <row r="13">
          <cell r="B13">
            <v>110557.99384615383</v>
          </cell>
        </row>
        <row r="22">
          <cell r="B22">
            <v>6.783383776803479</v>
          </cell>
        </row>
        <row r="25">
          <cell r="B25">
            <v>13.12353964937364</v>
          </cell>
        </row>
        <row r="26">
          <cell r="B26">
            <v>162513.4000000011</v>
          </cell>
        </row>
        <row r="27">
          <cell r="B27">
            <v>10081.741538461505</v>
          </cell>
        </row>
        <row r="30">
          <cell r="B30">
            <v>45872.496582297885</v>
          </cell>
        </row>
        <row r="31">
          <cell r="B31">
            <v>1.7339948991830454</v>
          </cell>
        </row>
      </sheetData>
      <sheetData sheetId="2">
        <row r="3">
          <cell r="J3">
            <v>6</v>
          </cell>
        </row>
        <row r="7">
          <cell r="L7">
            <v>27.366616139649103</v>
          </cell>
        </row>
      </sheetData>
      <sheetData sheetId="3">
        <row r="3">
          <cell r="R3">
            <v>365</v>
          </cell>
        </row>
      </sheetData>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tage enfant-semaine"/>
      <sheetName val="Actions"/>
      <sheetName val="Déblocage animaux"/>
      <sheetName val="Synthèse Impact &amp; EOD"/>
      <sheetName val="exporttestng"/>
      <sheetName val="&lt; TCD"/>
      <sheetName val="Vérif &gt;"/>
      <sheetName val="ActionsEspace"/>
      <sheetName val="TCD &gt;"/>
      <sheetName val="Calcul economie actions"/>
      <sheetName val="Enfants"/>
      <sheetName val="Liste Actions"/>
      <sheetName val="Actions modulées"/>
      <sheetName val="(Bron) - Calcul impact v4.2"/>
    </sheetNames>
    <definedNames>
      <definedName name="Nb_Joueur" refersTo="='Actions'!$B$8"/>
    </definedNames>
    <sheetDataSet>
      <sheetData sheetId="0"/>
      <sheetData sheetId="1">
        <row r="8">
          <cell r="B8">
            <v>50</v>
          </cell>
        </row>
        <row r="12">
          <cell r="B12">
            <v>480480</v>
          </cell>
        </row>
        <row r="13">
          <cell r="B13">
            <v>403</v>
          </cell>
        </row>
        <row r="25">
          <cell r="B25">
            <v>2.8630520204843828</v>
          </cell>
        </row>
        <row r="26">
          <cell r="B26">
            <v>89968.200000000419</v>
          </cell>
        </row>
        <row r="27">
          <cell r="B27">
            <v>1634.5300000000011</v>
          </cell>
        </row>
        <row r="30">
          <cell r="B30">
            <v>45871.087861320855</v>
          </cell>
        </row>
        <row r="31">
          <cell r="B31">
            <v>1.7456776194190189</v>
          </cell>
        </row>
      </sheetData>
      <sheetData sheetId="2">
        <row r="3">
          <cell r="J3">
            <v>6</v>
          </cell>
        </row>
        <row r="7">
          <cell r="L7">
            <v>5.8470790108570352</v>
          </cell>
        </row>
      </sheetData>
      <sheetData sheetId="3">
        <row r="3">
          <cell r="R3">
            <v>365</v>
          </cell>
        </row>
      </sheetData>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tage enfant-semaine"/>
      <sheetName val="Actions"/>
      <sheetName val="Déblocage animaux"/>
      <sheetName val="Synthèse Impact &amp; EOD"/>
      <sheetName val="exporttestng"/>
      <sheetName val="Actions modulées"/>
      <sheetName val="ActionsEspace"/>
      <sheetName val="Calcul economie actions"/>
      <sheetName val="Référentiel Actions"/>
      <sheetName val="Enfants"/>
      <sheetName val="(Mansart) - Calcul impact v4.2"/>
    </sheetNames>
    <definedNames>
      <definedName name="Nb_Joueur" refersTo="='Actions'!$B$8"/>
    </definedNames>
    <sheetDataSet>
      <sheetData sheetId="0"/>
      <sheetData sheetId="1">
        <row r="8">
          <cell r="B8">
            <v>87</v>
          </cell>
        </row>
        <row r="12">
          <cell r="B12">
            <v>171007.19999999998</v>
          </cell>
        </row>
        <row r="13">
          <cell r="B13">
            <v>17327.79</v>
          </cell>
        </row>
        <row r="22">
          <cell r="B22">
            <v>4.6845214075778205</v>
          </cell>
        </row>
        <row r="25">
          <cell r="B25">
            <v>1.6738696421304438</v>
          </cell>
        </row>
        <row r="26">
          <cell r="B26">
            <v>18074.005913600027</v>
          </cell>
        </row>
        <row r="27">
          <cell r="B27">
            <v>3530.5323076924251</v>
          </cell>
        </row>
        <row r="30">
          <cell r="B30">
            <v>45870.084919970221</v>
          </cell>
        </row>
        <row r="31">
          <cell r="B31">
            <v>1.7540915509506425</v>
          </cell>
        </row>
      </sheetData>
      <sheetData sheetId="2">
        <row r="3">
          <cell r="J3">
            <v>5</v>
          </cell>
        </row>
        <row r="7">
          <cell r="L7">
            <v>4.3400796080714032</v>
          </cell>
        </row>
      </sheetData>
      <sheetData sheetId="3">
        <row r="3">
          <cell r="R3">
            <v>365</v>
          </cell>
        </row>
      </sheetData>
      <sheetData sheetId="4"/>
      <sheetData sheetId="5"/>
      <sheetData sheetId="6"/>
      <sheetData sheetId="7"/>
      <sheetData sheetId="8"/>
      <sheetData sheetId="9"/>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tage enfant-semaine"/>
      <sheetName val="Actions"/>
      <sheetName val="Déblocage animaux"/>
      <sheetName val="Synthèse Impact &amp; EOD"/>
      <sheetName val="exporttestng"/>
      <sheetName val="&lt; TCD"/>
      <sheetName val="Vérif &gt;"/>
      <sheetName val="ActionsEspace"/>
      <sheetName val="Actions modulées"/>
      <sheetName val="Liste Actions"/>
      <sheetName val="TCD &gt;"/>
      <sheetName val="Calcul economie actions"/>
      <sheetName val="Enfants"/>
    </sheetNames>
    <definedNames>
      <definedName name="Nb_Joueur" refersTo="='Actions'!$B$8"/>
    </definedNames>
    <sheetDataSet>
      <sheetData sheetId="0" refreshError="1"/>
      <sheetData sheetId="1">
        <row r="8">
          <cell r="B8">
            <v>53</v>
          </cell>
        </row>
        <row r="22">
          <cell r="B22">
            <v>1.6641605640241013</v>
          </cell>
        </row>
        <row r="25">
          <cell r="B25">
            <v>35.89</v>
          </cell>
        </row>
        <row r="26">
          <cell r="B26">
            <v>389713.1</v>
          </cell>
        </row>
        <row r="27">
          <cell r="B27">
            <v>37360.71</v>
          </cell>
        </row>
        <row r="30">
          <cell r="B30">
            <v>45882.069186382752</v>
          </cell>
        </row>
        <row r="31">
          <cell r="B31">
            <v>1.65</v>
          </cell>
        </row>
      </sheetData>
      <sheetData sheetId="2">
        <row r="3">
          <cell r="J3">
            <v>8</v>
          </cell>
        </row>
      </sheetData>
      <sheetData sheetId="3">
        <row r="3">
          <cell r="R3">
            <v>365</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tage enfant-semaine"/>
      <sheetName val="Actions"/>
      <sheetName val="Déblocage animaux"/>
      <sheetName val="Synthèse Impact &amp; EOD"/>
      <sheetName val="exporttestng"/>
      <sheetName val="&lt; TCD"/>
      <sheetName val="Vérif &gt;"/>
      <sheetName val="ActionsEspace"/>
      <sheetName val="Actions modulées"/>
      <sheetName val="Liste Actions"/>
      <sheetName val="TCD &gt;"/>
      <sheetName val="Calcul economie actions"/>
      <sheetName val="Enfants"/>
      <sheetName val="(SOSAnimaux) - Calcul impact v4"/>
    </sheetNames>
    <definedNames>
      <definedName name="Nb_Joueur" refersTo="='Actions'!$B$8"/>
    </definedNames>
    <sheetDataSet>
      <sheetData sheetId="0"/>
      <sheetData sheetId="1">
        <row r="8">
          <cell r="B8">
            <v>91</v>
          </cell>
        </row>
        <row r="22">
          <cell r="B22">
            <v>2.9305974170763247</v>
          </cell>
        </row>
        <row r="25">
          <cell r="B25">
            <v>4.303410740012823</v>
          </cell>
        </row>
        <row r="26">
          <cell r="B26">
            <v>153481.10250800152</v>
          </cell>
        </row>
        <row r="27">
          <cell r="B27">
            <v>7120.8588128094852</v>
          </cell>
        </row>
        <row r="30">
          <cell r="B30">
            <v>45870.912383684066</v>
          </cell>
        </row>
        <row r="31">
          <cell r="B31">
            <v>1.7471439153745276</v>
          </cell>
        </row>
      </sheetData>
      <sheetData sheetId="2">
        <row r="3">
          <cell r="J3">
            <v>6</v>
          </cell>
        </row>
      </sheetData>
      <sheetData sheetId="3">
        <row r="3">
          <cell r="R3">
            <v>365</v>
          </cell>
        </row>
      </sheetData>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mptage enfant-semaine"/>
      <sheetName val="Actions"/>
      <sheetName val="Déblocage animaux"/>
      <sheetName val="Synthèse Impact &amp; EOD"/>
      <sheetName val="exporttestng"/>
      <sheetName val="&lt; TCD"/>
      <sheetName val="Vérif &gt;"/>
      <sheetName val="ActionsEspace"/>
      <sheetName val="Actions modulées"/>
      <sheetName val="Liste Actions"/>
      <sheetName val="TCD &gt;"/>
      <sheetName val="Calcul economie actions"/>
      <sheetName val="Enfants"/>
      <sheetName val="(SOSVegetaux) - Calcul impact v"/>
    </sheetNames>
    <definedNames>
      <definedName name="Nb_Joueur" refersTo="='Actions'!$B$8"/>
    </definedNames>
    <sheetDataSet>
      <sheetData sheetId="0"/>
      <sheetData sheetId="1">
        <row r="8">
          <cell r="B8">
            <v>81</v>
          </cell>
        </row>
        <row r="22">
          <cell r="B22">
            <v>1.4895005001667132</v>
          </cell>
        </row>
        <row r="25">
          <cell r="B25">
            <v>1.2408033842427115</v>
          </cell>
        </row>
        <row r="26">
          <cell r="B26">
            <v>39638.400725999862</v>
          </cell>
        </row>
        <row r="27">
          <cell r="B27">
            <v>2083.8596797638429</v>
          </cell>
        </row>
        <row r="30">
          <cell r="B30">
            <v>45870.351691210366</v>
          </cell>
        </row>
        <row r="31">
          <cell r="B31">
            <v>1.7518456311999593</v>
          </cell>
        </row>
      </sheetData>
      <sheetData sheetId="2">
        <row r="3">
          <cell r="J3">
            <v>4</v>
          </cell>
        </row>
      </sheetData>
      <sheetData sheetId="3">
        <row r="3">
          <cell r="R3">
            <v>365</v>
          </cell>
        </row>
      </sheetData>
      <sheetData sheetId="4"/>
      <sheetData sheetId="5"/>
      <sheetData sheetId="6"/>
      <sheetData sheetId="7"/>
      <sheetData sheetId="8"/>
      <sheetData sheetId="9"/>
      <sheetData sheetId="10"/>
      <sheetData sheetId="11"/>
      <sheetData sheetId="12"/>
      <sheetData sheetId="13" refreshError="1"/>
    </sheetDataSet>
  </externalBook>
</externalLink>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Balan)%20-%20Calcul%20impact%20v4.2.xlsm"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Bron)%20-%20Calcul%20impact%20v4.2.xlsm"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Mansart)%20-%20Calcul%20impact%20v4.2.xlsm"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Neyron)%20-%20Calcul%20impact%20v4.2.xlsm"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SOSAnimaux)%20-%20Calcul%20impact%20v4.2.xlsm"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SOSVegetaux)%20-%20Calcul%20impact%20v4.2.xlsm"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fr.wikipedia.org/wiki/D%C3%A9ficit_%C3%A9cologiq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C3B39-C2BD-4848-954D-2D2D415E4F4A}">
  <sheetPr codeName="Feuil3"/>
  <dimension ref="A1:AL70"/>
  <sheetViews>
    <sheetView tabSelected="1" zoomScale="115" zoomScaleNormal="115" workbookViewId="0">
      <selection activeCell="H6" sqref="H6:H11"/>
    </sheetView>
  </sheetViews>
  <sheetFormatPr baseColWidth="10" defaultColWidth="11.42578125" defaultRowHeight="12.75" x14ac:dyDescent="0.25"/>
  <cols>
    <col min="1" max="1" width="16" style="2" customWidth="1"/>
    <col min="2" max="2" width="11.42578125" style="2"/>
    <col min="3" max="4" width="14.28515625" style="2" customWidth="1"/>
    <col min="5" max="5" width="15.42578125" style="2" bestFit="1" customWidth="1"/>
    <col min="6" max="6" width="12.7109375" style="2" customWidth="1"/>
    <col min="7" max="7" width="11.42578125" style="2"/>
    <col min="8" max="8" width="11.42578125" style="3"/>
    <col min="9" max="9" width="9.7109375" style="3" customWidth="1"/>
    <col min="10" max="10" width="12.42578125" style="3" bestFit="1" customWidth="1"/>
    <col min="11" max="11" width="12.42578125" style="2" customWidth="1"/>
    <col min="12" max="12" width="14.28515625" style="3" bestFit="1" customWidth="1"/>
    <col min="13" max="13" width="5" style="3" customWidth="1"/>
    <col min="14" max="14" width="5.85546875" style="3" customWidth="1"/>
    <col min="15" max="15" width="11.42578125" style="3"/>
    <col min="16" max="16" width="5.42578125" style="2" bestFit="1" customWidth="1"/>
    <col min="17" max="17" width="17.28515625" style="2" customWidth="1"/>
    <col min="18" max="18" width="11.42578125" style="2" bestFit="1" customWidth="1"/>
    <col min="19" max="19" width="10" style="2" bestFit="1" customWidth="1"/>
    <col min="20" max="37" width="11.42578125" style="2"/>
    <col min="38" max="38" width="13.28515625" style="2" bestFit="1" customWidth="1"/>
    <col min="39" max="16384" width="11.42578125" style="2"/>
  </cols>
  <sheetData>
    <row r="1" spans="1:38" ht="15.75" x14ac:dyDescent="0.25">
      <c r="A1" s="13" t="s">
        <v>1340</v>
      </c>
      <c r="C1" s="2">
        <v>11</v>
      </c>
      <c r="D1" s="2">
        <v>2</v>
      </c>
      <c r="E1" s="7"/>
      <c r="F1" s="2">
        <v>0</v>
      </c>
      <c r="G1" s="11">
        <v>42</v>
      </c>
      <c r="J1" s="65" t="s">
        <v>1390</v>
      </c>
      <c r="K1" s="5"/>
      <c r="L1" s="66">
        <v>45505</v>
      </c>
      <c r="N1" s="65"/>
      <c r="Q1" s="74" t="s">
        <v>14</v>
      </c>
    </row>
    <row r="2" spans="1:38" x14ac:dyDescent="0.25">
      <c r="B2" s="2" t="s">
        <v>2</v>
      </c>
      <c r="C2" s="2" t="s">
        <v>3</v>
      </c>
      <c r="D2" s="2" t="s">
        <v>4</v>
      </c>
      <c r="E2" s="2" t="s">
        <v>6</v>
      </c>
      <c r="F2" s="2" t="s">
        <v>5</v>
      </c>
      <c r="G2" s="2" t="s">
        <v>1</v>
      </c>
      <c r="Q2" s="74"/>
    </row>
    <row r="3" spans="1:38" x14ac:dyDescent="0.25">
      <c r="A3" s="3" t="s">
        <v>1341</v>
      </c>
      <c r="B3" s="2">
        <f>SUM(B6:B8)</f>
        <v>240</v>
      </c>
      <c r="C3" s="8">
        <f>SUM(C6:C8)</f>
        <v>2640</v>
      </c>
      <c r="D3" s="8">
        <f>SUM(D6:D8)</f>
        <v>480</v>
      </c>
      <c r="E3" s="8">
        <f ca="1">SUM(E6:E8)</f>
        <v>438.90027223034406</v>
      </c>
      <c r="F3" s="49">
        <f ca="1">SUM(F6:F8)</f>
        <v>53.316950389386463</v>
      </c>
      <c r="G3" s="10">
        <f ca="1">(C3-F3)*$G$1/$C3</f>
        <v>41.151775789259759</v>
      </c>
      <c r="Q3" s="11">
        <f ca="1">(C3-E3)*$G$1/$C3</f>
        <v>35.017495669062711</v>
      </c>
      <c r="S3" s="43"/>
      <c r="T3" s="43"/>
      <c r="U3" s="43"/>
      <c r="V3" s="43"/>
      <c r="W3" s="43"/>
      <c r="X3" s="43"/>
      <c r="Y3" s="43"/>
      <c r="Z3" s="43"/>
      <c r="AA3" s="43"/>
      <c r="AB3" s="43"/>
      <c r="AC3" s="43"/>
      <c r="AD3" s="43"/>
    </row>
    <row r="4" spans="1:38" x14ac:dyDescent="0.25">
      <c r="R4" s="69"/>
      <c r="S4" s="69"/>
      <c r="T4" s="69"/>
      <c r="U4" s="69"/>
      <c r="V4" s="69"/>
      <c r="W4" s="69"/>
      <c r="X4" s="69"/>
    </row>
    <row r="5" spans="1:38" ht="15" x14ac:dyDescent="0.25">
      <c r="A5" s="5" t="s">
        <v>0</v>
      </c>
      <c r="B5" s="5" t="s">
        <v>13</v>
      </c>
      <c r="C5" s="5" t="s">
        <v>1360</v>
      </c>
      <c r="D5" s="5" t="s">
        <v>1359</v>
      </c>
      <c r="E5" s="5" t="s">
        <v>1358</v>
      </c>
      <c r="F5" s="5" t="s">
        <v>1357</v>
      </c>
      <c r="G5" s="67" t="s">
        <v>12</v>
      </c>
      <c r="H5" s="68" t="s">
        <v>1394</v>
      </c>
      <c r="I5" s="3" t="s">
        <v>1375</v>
      </c>
      <c r="K5" s="2" t="s">
        <v>1397</v>
      </c>
      <c r="L5" s="2" t="s">
        <v>1396</v>
      </c>
      <c r="M5" s="5" t="s">
        <v>1395</v>
      </c>
      <c r="N5" s="2" t="s">
        <v>1390</v>
      </c>
      <c r="Q5" s="60" t="s">
        <v>1381</v>
      </c>
      <c r="R5" s="12">
        <v>46009</v>
      </c>
      <c r="S5" s="12">
        <f>R5+14</f>
        <v>46023</v>
      </c>
      <c r="T5" s="12">
        <v>45665</v>
      </c>
      <c r="U5" s="12">
        <v>45673</v>
      </c>
      <c r="V5" s="12">
        <v>45678</v>
      </c>
      <c r="W5" s="12">
        <v>45694</v>
      </c>
      <c r="X5" s="12">
        <v>45706</v>
      </c>
      <c r="Y5" s="12">
        <v>45714</v>
      </c>
      <c r="Z5" s="12">
        <v>45729</v>
      </c>
      <c r="AA5" s="12">
        <v>45743</v>
      </c>
      <c r="AB5" s="12">
        <v>45385</v>
      </c>
      <c r="AC5" s="12">
        <v>45763</v>
      </c>
      <c r="AD5" s="12">
        <v>45781</v>
      </c>
      <c r="AE5" s="12">
        <v>45791</v>
      </c>
      <c r="AF5" s="12">
        <v>45437</v>
      </c>
      <c r="AG5" s="12">
        <v>45446</v>
      </c>
      <c r="AH5" s="12">
        <v>45457</v>
      </c>
      <c r="AI5" s="12">
        <v>45112</v>
      </c>
      <c r="AJ5" s="12">
        <v>45160</v>
      </c>
      <c r="AK5" s="12"/>
    </row>
    <row r="6" spans="1:38" x14ac:dyDescent="0.25">
      <c r="A6" s="3" t="s">
        <v>7</v>
      </c>
      <c r="B6" s="6">
        <f>Neyron!B3</f>
        <v>53</v>
      </c>
      <c r="C6" s="8">
        <f t="shared" ref="C6:C8" si="0">B6*$C$1</f>
        <v>583</v>
      </c>
      <c r="D6" s="8">
        <f t="shared" ref="D6:D8" si="1">B6*$D$1</f>
        <v>106</v>
      </c>
      <c r="E6" s="8" cm="1">
        <f t="array" aca="1" ref="E6" ca="1">INDIRECT(CELL("contenu",A6)&amp;"!D9")</f>
        <v>146.30009074344801</v>
      </c>
      <c r="F6" s="47" cm="1">
        <f t="array" aca="1" ref="F6" ca="1">INDIRECT(CELL("contenu",A6)&amp;"!$b$8")</f>
        <v>35.89</v>
      </c>
      <c r="G6" s="9">
        <f t="shared" ref="G6:G8" ca="1" si="2">IF(ISERROR((C6-F6)*$G$1/$C6),0,(C6-F6)*$G$1/$C6)</f>
        <v>39.414442538593484</v>
      </c>
      <c r="H6" s="48">
        <f ca="1">(($C6*$G$1)-(G6*$C6))/$G$1</f>
        <v>35.889999999999937</v>
      </c>
      <c r="I6" s="54">
        <f t="shared" ref="I6:I10" ca="1" si="3">IF(ISERROR(F6/B6),0,F6/B6)</f>
        <v>0.67716981132075471</v>
      </c>
      <c r="J6" s="53"/>
      <c r="K6" s="72" t="s">
        <v>1367</v>
      </c>
      <c r="L6" s="48" t="str" cm="1">
        <f t="array" aca="1" ref="L6" ca="1">INDIRECT(CELL("contenu",A6)&amp;"!$d$1")</f>
        <v>Requin</v>
      </c>
      <c r="M6" s="71" cm="1">
        <f t="array" aca="1" ref="M6" ca="1">INDIRECT(CELL("contenu",A6)&amp;"!$b$1")</f>
        <v>8</v>
      </c>
      <c r="N6" s="73" cm="1">
        <f t="array" aca="1" ref="N6" ca="1">INDIRECT(CELL("contenu",A6)&amp;"!$b$18")</f>
        <v>12</v>
      </c>
      <c r="O6" s="39"/>
      <c r="P6" s="2" t="s">
        <v>9</v>
      </c>
      <c r="Q6" s="27" t="str">
        <f t="shared" ref="Q6:Q11" si="4">A6</f>
        <v>Neyron</v>
      </c>
      <c r="R6" s="9">
        <v>41.712028954094215</v>
      </c>
      <c r="S6" s="9">
        <v>41.645213994241786</v>
      </c>
      <c r="T6" s="9">
        <v>41.527851643198382</v>
      </c>
      <c r="U6" s="9">
        <v>41.403127493463082</v>
      </c>
      <c r="V6" s="9">
        <v>41.332720479422562</v>
      </c>
      <c r="W6" s="9">
        <v>41.04775739953994</v>
      </c>
      <c r="X6" s="9">
        <v>40.868154028863806</v>
      </c>
      <c r="Y6" s="9">
        <v>40.800433427854706</v>
      </c>
      <c r="Z6" s="9">
        <v>40.660231481552323</v>
      </c>
      <c r="AA6" s="9">
        <v>40.461529842905584</v>
      </c>
      <c r="AB6" s="9">
        <v>40.331878148642907</v>
      </c>
      <c r="AC6" s="9">
        <v>40.14768056097256</v>
      </c>
      <c r="AD6" s="9">
        <v>40.00796725615713</v>
      </c>
      <c r="AE6" s="9">
        <v>39.849168004630279</v>
      </c>
      <c r="AF6" s="9">
        <v>39.745982007779176</v>
      </c>
      <c r="AG6" s="9">
        <v>39.642126813559514</v>
      </c>
      <c r="AH6" s="9"/>
      <c r="AI6" s="9"/>
      <c r="AJ6" s="9"/>
      <c r="AK6" s="9"/>
      <c r="AL6" s="27" t="str">
        <f t="shared" ref="AL6:AL11" si="5">Q6</f>
        <v>Neyron</v>
      </c>
    </row>
    <row r="7" spans="1:38" x14ac:dyDescent="0.25">
      <c r="A7" s="3" t="s">
        <v>1388</v>
      </c>
      <c r="B7" s="6">
        <f>Balan!B3</f>
        <v>96</v>
      </c>
      <c r="C7" s="8">
        <f t="shared" si="0"/>
        <v>1056</v>
      </c>
      <c r="D7" s="8">
        <f t="shared" si="1"/>
        <v>192</v>
      </c>
      <c r="E7" s="8" cm="1">
        <f t="array" aca="1" ref="E7" ca="1">INDIRECT(CELL("contenu",A7)&amp;"!D9")</f>
        <v>146.30009074344801</v>
      </c>
      <c r="F7" s="47" cm="1">
        <f t="array" aca="1" ref="F7" ca="1">INDIRECT(CELL("contenu",A7)&amp;"!$b$8")</f>
        <v>13.12353964937364</v>
      </c>
      <c r="G7" s="9">
        <f t="shared" ca="1" si="2"/>
        <v>41.478041036672636</v>
      </c>
      <c r="H7" s="48">
        <f ca="1">(($C7*$G$1)-(G7*$C7))/$G$1</f>
        <v>13.123539649373665</v>
      </c>
      <c r="I7" s="54">
        <f t="shared" ca="1" si="3"/>
        <v>0.13670353801430876</v>
      </c>
      <c r="K7" s="2" t="s">
        <v>1365</v>
      </c>
      <c r="L7" s="48" t="str" cm="1">
        <f t="array" aca="1" ref="L7" ca="1">INDIRECT(CELL("contenu",A7)&amp;"!$d$1")</f>
        <v>Poisson</v>
      </c>
      <c r="M7" s="71" cm="1">
        <f t="array" aca="1" ref="M7" ca="1">INDIRECT(CELL("contenu",A7)&amp;"!$b$1")</f>
        <v>6</v>
      </c>
      <c r="N7" s="73" cm="1">
        <f t="array" aca="1" ref="N7" ca="1">INDIRECT(CELL("contenu",A7)&amp;"!$b$18")</f>
        <v>2</v>
      </c>
      <c r="O7" s="39"/>
      <c r="P7" s="2" t="s">
        <v>8</v>
      </c>
      <c r="Q7" s="27" t="str">
        <f t="shared" si="4"/>
        <v>Balan</v>
      </c>
      <c r="R7" s="9">
        <v>41.991073086114696</v>
      </c>
      <c r="S7" s="9">
        <v>41.987074698853149</v>
      </c>
      <c r="T7" s="9">
        <v>41.984577556171367</v>
      </c>
      <c r="U7" s="9">
        <v>41.953536369712957</v>
      </c>
      <c r="V7" s="9">
        <v>41.919472808181801</v>
      </c>
      <c r="W7" s="9">
        <v>41.847000702485424</v>
      </c>
      <c r="X7" s="9">
        <v>41.780420414724162</v>
      </c>
      <c r="Y7" s="9">
        <v>41.753263193824814</v>
      </c>
      <c r="Z7" s="9">
        <v>41.710587581950918</v>
      </c>
      <c r="AA7" s="9">
        <v>41.653159616397893</v>
      </c>
      <c r="AB7" s="9">
        <v>41.62084590119445</v>
      </c>
      <c r="AC7" s="9">
        <v>41.587029748383031</v>
      </c>
      <c r="AD7" s="9">
        <v>41.557062138735802</v>
      </c>
      <c r="AE7" s="9">
        <v>41.545301786526323</v>
      </c>
      <c r="AF7" s="9">
        <v>41.529749330151333</v>
      </c>
      <c r="AG7" s="9">
        <v>41.513209726989366</v>
      </c>
      <c r="AH7" s="9"/>
      <c r="AI7" s="9"/>
      <c r="AJ7" s="9"/>
      <c r="AK7" s="9"/>
      <c r="AL7" s="27" t="str">
        <f t="shared" si="5"/>
        <v>Balan</v>
      </c>
    </row>
    <row r="8" spans="1:38" x14ac:dyDescent="0.25">
      <c r="A8" s="3" t="s">
        <v>1392</v>
      </c>
      <c r="B8" s="6">
        <f>Sosanimaux!B3</f>
        <v>91</v>
      </c>
      <c r="C8" s="8">
        <f t="shared" si="0"/>
        <v>1001</v>
      </c>
      <c r="D8" s="8">
        <f t="shared" si="1"/>
        <v>182</v>
      </c>
      <c r="E8" s="8" cm="1">
        <f t="array" aca="1" ref="E8" ca="1">INDIRECT(CELL("contenu",A8)&amp;"!D9")</f>
        <v>146.30009074344801</v>
      </c>
      <c r="F8" s="47" cm="1">
        <f t="array" aca="1" ref="F8" ca="1">INDIRECT(CELL("contenu",A8)&amp;"!$b$8")</f>
        <v>4.303410740012823</v>
      </c>
      <c r="G8" s="9">
        <f t="shared" ca="1" si="2"/>
        <v>41.819437311607857</v>
      </c>
      <c r="H8" s="48">
        <f ca="1">((($C8*$G$1)-(G8*$C8))/$G$1)</f>
        <v>4.3034107400127963</v>
      </c>
      <c r="I8" s="54">
        <f t="shared" ca="1" si="3"/>
        <v>4.7290227912228824E-2</v>
      </c>
      <c r="K8" s="2" t="s">
        <v>1398</v>
      </c>
      <c r="L8" s="48" t="str" cm="1">
        <f t="array" aca="1" ref="L8" ca="1">INDIRECT(CELL("contenu",A8)&amp;"!$d$1")</f>
        <v>Poisson</v>
      </c>
      <c r="M8" s="71" cm="1">
        <f t="array" aca="1" ref="M8" ca="1">INDIRECT(CELL("contenu",A8)&amp;"!$b$1")</f>
        <v>6</v>
      </c>
      <c r="N8" s="73" cm="1">
        <f t="array" aca="1" ref="N8" ca="1">INDIRECT(CELL("contenu",A8)&amp;"!$b$18")</f>
        <v>0</v>
      </c>
      <c r="O8" s="39"/>
      <c r="P8" s="2" t="s">
        <v>10</v>
      </c>
      <c r="Q8" s="27" t="str">
        <f t="shared" si="4"/>
        <v>Sosanimaux</v>
      </c>
      <c r="R8" s="9">
        <v>42</v>
      </c>
      <c r="S8" s="9">
        <v>42</v>
      </c>
      <c r="T8" s="9">
        <v>42</v>
      </c>
      <c r="U8" s="9">
        <v>42</v>
      </c>
      <c r="V8" s="9">
        <v>42</v>
      </c>
      <c r="W8" s="9">
        <v>42</v>
      </c>
      <c r="X8" s="9">
        <v>42</v>
      </c>
      <c r="Y8" s="9">
        <v>42</v>
      </c>
      <c r="Z8" s="9">
        <v>42</v>
      </c>
      <c r="AA8" s="9">
        <v>42</v>
      </c>
      <c r="AB8" s="9">
        <v>42</v>
      </c>
      <c r="AC8" s="9">
        <v>41.964507864009391</v>
      </c>
      <c r="AD8" s="9">
        <v>41.942556111016138</v>
      </c>
      <c r="AE8" s="9">
        <v>41.91541808860017</v>
      </c>
      <c r="AF8" s="9">
        <v>41.896984153968049</v>
      </c>
      <c r="AG8" s="9">
        <v>41.872044016808807</v>
      </c>
      <c r="AH8" s="9"/>
      <c r="AI8" s="9"/>
      <c r="AJ8" s="9"/>
      <c r="AK8" s="9"/>
      <c r="AL8" s="27" t="str">
        <f t="shared" si="5"/>
        <v>Sosanimaux</v>
      </c>
    </row>
    <row r="9" spans="1:38" x14ac:dyDescent="0.25">
      <c r="A9" s="3" t="s">
        <v>1393</v>
      </c>
      <c r="B9" s="6">
        <f>Sosvegetaux!B3</f>
        <v>81</v>
      </c>
      <c r="C9" s="8">
        <f t="shared" ref="C9" si="6">B9*$C$1</f>
        <v>891</v>
      </c>
      <c r="D9" s="8">
        <f t="shared" ref="D9" si="7">B9*$D$1</f>
        <v>162</v>
      </c>
      <c r="E9" s="8" cm="1">
        <f t="array" aca="1" ref="E9" ca="1">INDIRECT(CELL("contenu",A9)&amp;"!D9")</f>
        <v>146.30009074344801</v>
      </c>
      <c r="F9" s="47" cm="1">
        <f t="array" aca="1" ref="F9" ca="1">INDIRECT(CELL("contenu",A9)&amp;"!$b$8")</f>
        <v>1.2408033842427115</v>
      </c>
      <c r="G9" s="9">
        <f t="shared" ref="G9" ca="1" si="8">IF(ISERROR((C9-F9)*$G$1/$C9),0,(C9-F9)*$G$1/$C9)</f>
        <v>41.941510951584519</v>
      </c>
      <c r="H9" s="48">
        <f ca="1">((($C9*$G$1)-(G9*$C9))/$G$1)</f>
        <v>1.2408033842427055</v>
      </c>
      <c r="I9" s="54">
        <f t="shared" ref="I9" ca="1" si="9">IF(ISERROR(F9/B9),0,F9/B9)</f>
        <v>1.5318560299292735E-2</v>
      </c>
      <c r="K9" s="2" t="s">
        <v>1364</v>
      </c>
      <c r="L9" s="48" t="str" cm="1">
        <f t="array" aca="1" ref="L9" ca="1">INDIRECT(CELL("contenu",A9)&amp;"!$d$1")</f>
        <v>Ours</v>
      </c>
      <c r="M9" s="71" cm="1">
        <f t="array" aca="1" ref="M9" ca="1">INDIRECT(CELL("contenu",A9)&amp;"!$b$1")</f>
        <v>4</v>
      </c>
      <c r="N9" s="73" cm="1">
        <f t="array" aca="1" ref="N9" ca="1">INDIRECT(CELL("contenu",A9)&amp;"!$b$18")</f>
        <v>0</v>
      </c>
      <c r="O9" s="39"/>
      <c r="Q9" s="27" t="str">
        <f t="shared" si="4"/>
        <v>Sosvegetaux</v>
      </c>
      <c r="R9" s="9">
        <v>42</v>
      </c>
      <c r="S9" s="9">
        <v>42</v>
      </c>
      <c r="T9" s="9">
        <v>42</v>
      </c>
      <c r="U9" s="9">
        <v>42</v>
      </c>
      <c r="V9" s="9">
        <v>42</v>
      </c>
      <c r="W9" s="9">
        <v>42</v>
      </c>
      <c r="X9" s="9">
        <v>42</v>
      </c>
      <c r="Y9" s="9">
        <v>42</v>
      </c>
      <c r="Z9" s="9">
        <v>42</v>
      </c>
      <c r="AA9" s="9">
        <v>42</v>
      </c>
      <c r="AB9" s="9">
        <v>42</v>
      </c>
      <c r="AC9" s="9">
        <v>41.987739156733944</v>
      </c>
      <c r="AD9" s="9">
        <v>41.977084102329925</v>
      </c>
      <c r="AE9" s="9">
        <v>41.968855130447913</v>
      </c>
      <c r="AF9" s="9">
        <v>41.958253380067227</v>
      </c>
      <c r="AG9" s="9">
        <v>41.953204121243083</v>
      </c>
      <c r="AH9" s="9"/>
      <c r="AI9" s="9"/>
      <c r="AJ9" s="9"/>
      <c r="AK9" s="9"/>
      <c r="AL9" s="27" t="str">
        <f t="shared" si="5"/>
        <v>Sosvegetaux</v>
      </c>
    </row>
    <row r="10" spans="1:38" x14ac:dyDescent="0.25">
      <c r="A10" s="3" t="s">
        <v>1389</v>
      </c>
      <c r="B10" s="6">
        <f>Mansart!B3</f>
        <v>87</v>
      </c>
      <c r="C10" s="8">
        <f t="shared" ref="C10:C11" si="10">B10*$C$1</f>
        <v>957</v>
      </c>
      <c r="D10" s="8">
        <f t="shared" ref="D10:D11" si="11">B10*$D$1</f>
        <v>174</v>
      </c>
      <c r="E10" s="8" cm="1">
        <f t="array" aca="1" ref="E10" ca="1">INDIRECT(CELL("contenu",A10)&amp;"!D9")</f>
        <v>146.30009074344801</v>
      </c>
      <c r="F10" s="47" cm="1">
        <f t="array" aca="1" ref="F10" ca="1">INDIRECT(CELL("contenu",A10)&amp;"!$b$8")</f>
        <v>1.6738696421304438</v>
      </c>
      <c r="G10" s="9">
        <f ca="1">IF(ISERROR((C10-F10)*$G$1/$C10),0,(C10-F10)*$G$1/$C10)</f>
        <v>41.926538636395534</v>
      </c>
      <c r="H10" s="48">
        <f t="shared" ref="H10:H11" ca="1" si="12">((($C10*$G$1)-(G10*$C10))/$G$1)</f>
        <v>1.6738696421303931</v>
      </c>
      <c r="I10" s="54">
        <f t="shared" ca="1" si="3"/>
        <v>1.9239880944028089E-2</v>
      </c>
      <c r="K10" s="2" t="s">
        <v>1398</v>
      </c>
      <c r="L10" s="48" t="str" cm="1">
        <f t="array" aca="1" ref="L10" ca="1">INDIRECT(CELL("contenu",A10)&amp;"!$d$1")</f>
        <v>Éléphant</v>
      </c>
      <c r="M10" s="71" cm="1">
        <f t="array" aca="1" ref="M10" ca="1">INDIRECT(CELL("contenu",A10)&amp;"!$b$1")</f>
        <v>5</v>
      </c>
      <c r="N10" s="73" cm="1">
        <f t="array" aca="1" ref="N10" ca="1">INDIRECT(CELL("contenu",A10)&amp;"!$b$18")</f>
        <v>0</v>
      </c>
      <c r="O10" s="39"/>
      <c r="Q10" s="27" t="str">
        <f t="shared" si="4"/>
        <v>Mansart</v>
      </c>
      <c r="R10" s="9">
        <v>42</v>
      </c>
      <c r="S10" s="9">
        <v>42</v>
      </c>
      <c r="T10" s="9">
        <v>41.999127623279087</v>
      </c>
      <c r="U10" s="9">
        <v>41.995423001020114</v>
      </c>
      <c r="V10" s="9">
        <v>41.992072829661652</v>
      </c>
      <c r="W10" s="9">
        <v>41.980801314911488</v>
      </c>
      <c r="X10" s="9">
        <v>41.971166447573815</v>
      </c>
      <c r="Y10" s="9">
        <v>41.967467924991048</v>
      </c>
      <c r="Z10" s="9">
        <v>41.96194914308127</v>
      </c>
      <c r="AA10" s="9">
        <v>41.955828986675002</v>
      </c>
      <c r="AB10" s="9">
        <v>41.952037259744785</v>
      </c>
      <c r="AC10" s="9">
        <v>41.947402368114673</v>
      </c>
      <c r="AD10" s="9">
        <v>41.943895510784571</v>
      </c>
      <c r="AE10" s="9">
        <v>41.939605335584865</v>
      </c>
      <c r="AF10" s="9">
        <v>41.936152751871788</v>
      </c>
      <c r="AG10" s="9">
        <v>41.932607512513719</v>
      </c>
      <c r="AH10" s="9"/>
      <c r="AI10" s="9"/>
      <c r="AJ10" s="9"/>
      <c r="AK10" s="9"/>
      <c r="AL10" s="27" t="str">
        <f t="shared" si="5"/>
        <v>Mansart</v>
      </c>
    </row>
    <row r="11" spans="1:38" x14ac:dyDescent="0.25">
      <c r="A11" s="3" t="s">
        <v>1391</v>
      </c>
      <c r="B11" s="6">
        <f>Bronature!B3</f>
        <v>50</v>
      </c>
      <c r="C11" s="8">
        <f t="shared" si="10"/>
        <v>550</v>
      </c>
      <c r="D11" s="8">
        <f t="shared" si="11"/>
        <v>100</v>
      </c>
      <c r="E11" s="8" cm="1">
        <f t="array" aca="1" ref="E11" ca="1">INDIRECT(CELL("contenu",A11)&amp;"!D9")</f>
        <v>146.30009074344801</v>
      </c>
      <c r="F11" s="47" cm="1">
        <f t="array" aca="1" ref="F11" ca="1">INDIRECT(CELL("contenu",A11)&amp;"!$b$8")</f>
        <v>2.8630520204843828</v>
      </c>
      <c r="G11" s="9">
        <f ca="1">IF(ISERROR((C11-F11)*$G$1/$C11),0,(C11-F11)*$G$1/$C11)</f>
        <v>41.781366936617559</v>
      </c>
      <c r="H11" s="48">
        <f t="shared" ca="1" si="12"/>
        <v>2.8630520204843335</v>
      </c>
      <c r="I11" s="54">
        <f ca="1">IF(ISERROR(F11/B11),0,F11/B11)</f>
        <v>5.7261040409687658E-2</v>
      </c>
      <c r="K11" s="2" t="s">
        <v>1365</v>
      </c>
      <c r="L11" s="48" t="str" cm="1">
        <f t="array" aca="1" ref="L11" ca="1">INDIRECT(CELL("contenu",A11)&amp;"!$d$1")</f>
        <v>Poisson</v>
      </c>
      <c r="M11" s="71" cm="1">
        <f t="array" aca="1" ref="M11" ca="1">INDIRECT(CELL("contenu",A11)&amp;"!$b$1")</f>
        <v>6</v>
      </c>
      <c r="N11" s="73" cm="1">
        <f t="array" aca="1" ref="N11" ca="1">INDIRECT(CELL("contenu",A11)&amp;"!$b$18")</f>
        <v>1</v>
      </c>
      <c r="O11" s="39"/>
      <c r="Q11" s="27" t="str">
        <f t="shared" si="4"/>
        <v>Bronature</v>
      </c>
      <c r="R11" s="9">
        <v>42</v>
      </c>
      <c r="S11" s="9">
        <v>42</v>
      </c>
      <c r="T11" s="9">
        <v>41.998005805319714</v>
      </c>
      <c r="U11" s="9">
        <v>41.986443629316042</v>
      </c>
      <c r="V11" s="9">
        <v>41.972364478285009</v>
      </c>
      <c r="W11" s="9">
        <v>41.93643826454359</v>
      </c>
      <c r="X11" s="9">
        <v>41.91680176000186</v>
      </c>
      <c r="Y11" s="9">
        <v>41.910059566905531</v>
      </c>
      <c r="Z11" s="9">
        <v>41.896530664186209</v>
      </c>
      <c r="AA11" s="9">
        <v>41.877822772904942</v>
      </c>
      <c r="AB11" s="9">
        <v>41.872769563648646</v>
      </c>
      <c r="AC11" s="9">
        <v>41.851337447712659</v>
      </c>
      <c r="AD11" s="9">
        <v>41.83859158617414</v>
      </c>
      <c r="AE11" s="9">
        <v>41.829865191759424</v>
      </c>
      <c r="AF11" s="9">
        <v>41.819126209436874</v>
      </c>
      <c r="AG11" s="9">
        <v>41.806133497018507</v>
      </c>
      <c r="AH11" s="9"/>
      <c r="AI11" s="9"/>
      <c r="AJ11" s="9"/>
      <c r="AK11" s="9"/>
      <c r="AL11" s="27" t="str">
        <f t="shared" si="5"/>
        <v>Bronature</v>
      </c>
    </row>
    <row r="12" spans="1:38" x14ac:dyDescent="0.25">
      <c r="B12" s="2">
        <f>SUM(B6:B11)</f>
        <v>458</v>
      </c>
      <c r="G12" s="10">
        <f ca="1">AVERAGE(G6:G11)</f>
        <v>41.393556235245264</v>
      </c>
      <c r="R12" s="69" cm="1">
        <f t="array" ref="R12">SUM(R$6:R$11/COUNTA(R$6:R$11))</f>
        <v>41.950517006701489</v>
      </c>
      <c r="S12" s="69" cm="1">
        <f t="array" ref="S12">SUM(S$6:S$11/COUNTA(S$6:S$11))</f>
        <v>41.938714782182487</v>
      </c>
      <c r="T12" s="69" cm="1">
        <f t="array" ref="T12">SUM(T$6:T$11/COUNTA(T$6:T$11))</f>
        <v>41.918260437994761</v>
      </c>
      <c r="U12" s="69" cm="1">
        <f t="array" ref="U12">SUM(U$6:U$11/COUNTA(U$6:U$11))</f>
        <v>41.88975508225203</v>
      </c>
      <c r="V12" s="69" cm="1">
        <f t="array" ref="V12">SUM(V$6:V$11/COUNTA(V$6:V$11))</f>
        <v>41.869438432591835</v>
      </c>
      <c r="W12" s="69" cm="1">
        <f t="array" ref="W12">SUM(W$6:W$11/COUNTA(W$6:W$11))</f>
        <v>41.80199961358008</v>
      </c>
      <c r="X12" s="69" cm="1">
        <f t="array" ref="X12">SUM(X$6:X$11/COUNTA(X$6:X$11))</f>
        <v>41.756090441860607</v>
      </c>
      <c r="Y12" s="69">
        <v>41.738537352262682</v>
      </c>
      <c r="Z12" s="69">
        <v>41.704883145128449</v>
      </c>
      <c r="AA12" s="69">
        <v>41.658056869813898</v>
      </c>
      <c r="AB12" s="69">
        <v>41.629588478871796</v>
      </c>
      <c r="AC12" s="69">
        <v>41.580949524321042</v>
      </c>
      <c r="AD12" s="69">
        <v>41.544526117532953</v>
      </c>
      <c r="AE12" s="69">
        <v>41.508035589591493</v>
      </c>
      <c r="AF12" s="69">
        <v>41.481041305545745</v>
      </c>
      <c r="AG12" s="69">
        <v>41.453220948022171</v>
      </c>
      <c r="AH12" s="69"/>
      <c r="AI12" s="69"/>
      <c r="AJ12" s="69"/>
      <c r="AK12" s="28"/>
      <c r="AL12" s="27"/>
    </row>
    <row r="13" spans="1:38" x14ac:dyDescent="0.25">
      <c r="F13" s="48"/>
      <c r="G13" s="9"/>
      <c r="AL13" s="27"/>
    </row>
    <row r="14" spans="1:38" ht="15" x14ac:dyDescent="0.2">
      <c r="A14" s="4"/>
      <c r="C14" s="8"/>
      <c r="D14" s="8"/>
      <c r="Q14" s="60" t="s">
        <v>1382</v>
      </c>
      <c r="R14" s="12">
        <f t="shared" ref="R14:AJ14" si="13">R5</f>
        <v>46009</v>
      </c>
      <c r="S14" s="12">
        <f t="shared" si="13"/>
        <v>46023</v>
      </c>
      <c r="T14" s="12">
        <f t="shared" si="13"/>
        <v>45665</v>
      </c>
      <c r="U14" s="12">
        <f t="shared" si="13"/>
        <v>45673</v>
      </c>
      <c r="V14" s="12">
        <f t="shared" si="13"/>
        <v>45678</v>
      </c>
      <c r="W14" s="12">
        <f t="shared" si="13"/>
        <v>45694</v>
      </c>
      <c r="X14" s="12">
        <f t="shared" si="13"/>
        <v>45706</v>
      </c>
      <c r="Y14" s="12">
        <f t="shared" si="13"/>
        <v>45714</v>
      </c>
      <c r="Z14" s="12">
        <f t="shared" si="13"/>
        <v>45729</v>
      </c>
      <c r="AA14" s="12">
        <f t="shared" si="13"/>
        <v>45743</v>
      </c>
      <c r="AB14" s="12">
        <f t="shared" si="13"/>
        <v>45385</v>
      </c>
      <c r="AC14" s="12">
        <f t="shared" si="13"/>
        <v>45763</v>
      </c>
      <c r="AD14" s="12">
        <f t="shared" si="13"/>
        <v>45781</v>
      </c>
      <c r="AE14" s="12">
        <f t="shared" si="13"/>
        <v>45791</v>
      </c>
      <c r="AF14" s="12">
        <f t="shared" si="13"/>
        <v>45437</v>
      </c>
      <c r="AG14" s="12">
        <f t="shared" si="13"/>
        <v>45446</v>
      </c>
      <c r="AH14" s="12">
        <f t="shared" si="13"/>
        <v>45457</v>
      </c>
      <c r="AI14" s="12">
        <f t="shared" si="13"/>
        <v>45112</v>
      </c>
      <c r="AJ14" s="12">
        <f t="shared" si="13"/>
        <v>45160</v>
      </c>
      <c r="AL14" s="27"/>
    </row>
    <row r="15" spans="1:38" x14ac:dyDescent="0.25">
      <c r="A15" s="9"/>
      <c r="B15" s="2" t="s">
        <v>1376</v>
      </c>
      <c r="C15" s="3"/>
      <c r="D15" s="8"/>
      <c r="Q15" s="27" t="str">
        <f>Q6</f>
        <v>Neyron</v>
      </c>
      <c r="R15" s="58">
        <v>3.3969797807568241</v>
      </c>
      <c r="S15" s="58">
        <v>4.9247676513581</v>
      </c>
      <c r="T15" s="64">
        <v>6.5538688575081698</v>
      </c>
      <c r="U15" s="58">
        <v>8.285158840738621</v>
      </c>
      <c r="V15" s="58">
        <v>9.2624752499201097</v>
      </c>
      <c r="W15" s="58">
        <v>13.218034192100319</v>
      </c>
      <c r="X15" s="58">
        <v>15.711100027914307</v>
      </c>
      <c r="Y15" s="58">
        <v>16.651126465731068</v>
      </c>
      <c r="Z15" s="58">
        <v>18.597263006071358</v>
      </c>
      <c r="AA15" s="58">
        <v>21.355430990143891</v>
      </c>
      <c r="AB15" s="58">
        <v>23.155119984313949</v>
      </c>
      <c r="AC15" s="58">
        <v>25.711957927452335</v>
      </c>
      <c r="AD15" s="58">
        <v>27.651311658580759</v>
      </c>
      <c r="AE15" s="58">
        <v>29.85559650715593</v>
      </c>
      <c r="AF15" s="58">
        <v>31.287916415827134</v>
      </c>
      <c r="AG15" s="58">
        <v>32.729525421304842</v>
      </c>
      <c r="AH15" s="58"/>
      <c r="AI15" s="58"/>
      <c r="AJ15" s="58"/>
      <c r="AL15" s="27" t="str">
        <f>Q15</f>
        <v>Neyron</v>
      </c>
    </row>
    <row r="16" spans="1:38" ht="15" x14ac:dyDescent="0.25">
      <c r="A16" s="46" t="s">
        <v>1377</v>
      </c>
      <c r="B16" s="52">
        <f>SUM(Neyron!B8,Balan!B8,Bronature!B8,Mansart!B8,Sosanimaux!B8,Sosvegetaux!B8)</f>
        <v>59.094675436243996</v>
      </c>
      <c r="C16" s="3" t="s">
        <v>1339</v>
      </c>
      <c r="D16" s="8"/>
      <c r="Q16" s="27" t="str">
        <f t="shared" ref="Q16:Q20" si="14">Q7</f>
        <v>Balan</v>
      </c>
      <c r="R16" s="58">
        <v>0.22444812054475602</v>
      </c>
      <c r="S16" s="58">
        <v>0.32497900026369497</v>
      </c>
      <c r="T16" s="64">
        <v>0.38776430197703166</v>
      </c>
      <c r="U16" s="58">
        <v>1.1682284186456291</v>
      </c>
      <c r="V16" s="58">
        <v>2.0246836800004182</v>
      </c>
      <c r="W16" s="58">
        <v>3.8468394803664219</v>
      </c>
      <c r="X16" s="58">
        <v>5.5208581440782014</v>
      </c>
      <c r="Y16" s="58">
        <v>6.2036682695475713</v>
      </c>
      <c r="Z16" s="58">
        <v>7.27665508237693</v>
      </c>
      <c r="AA16" s="58">
        <v>8.7205582162815034</v>
      </c>
      <c r="AB16" s="58">
        <v>9.5330173413967714</v>
      </c>
      <c r="AC16" s="58">
        <v>10.383252040655256</v>
      </c>
      <c r="AD16" s="58">
        <v>11.136723368928436</v>
      </c>
      <c r="AE16" s="58">
        <v>11.43241222448099</v>
      </c>
      <c r="AF16" s="58">
        <v>11.823445413337875</v>
      </c>
      <c r="AG16" s="58">
        <v>12.239298292838829</v>
      </c>
      <c r="AH16" s="58"/>
      <c r="AI16" s="58"/>
      <c r="AJ16" s="58"/>
      <c r="AL16" s="27" t="str">
        <f>Q16</f>
        <v>Balan</v>
      </c>
    </row>
    <row r="17" spans="1:38" ht="15" x14ac:dyDescent="0.25">
      <c r="A17" s="46" t="s">
        <v>1378</v>
      </c>
      <c r="B17" s="52">
        <f>SUM(Neyron!B10,Balan!B10,Bronature!B10,Mansart!B10,Sosanimaux!B10,Sosvegetaux!B10)/1000</f>
        <v>853.38820914760277</v>
      </c>
      <c r="C17" s="3" t="s">
        <v>1374</v>
      </c>
      <c r="D17" s="8"/>
      <c r="Q17" s="27" t="str">
        <f t="shared" si="14"/>
        <v>Sosanimaux</v>
      </c>
      <c r="R17" s="58">
        <v>0</v>
      </c>
      <c r="S17" s="58">
        <v>0</v>
      </c>
      <c r="T17" s="64">
        <v>0</v>
      </c>
      <c r="U17" s="58">
        <v>0</v>
      </c>
      <c r="V17" s="58">
        <v>0</v>
      </c>
      <c r="W17" s="58">
        <v>0</v>
      </c>
      <c r="X17" s="58">
        <v>0</v>
      </c>
      <c r="Y17" s="58">
        <v>0</v>
      </c>
      <c r="Z17" s="58">
        <v>0</v>
      </c>
      <c r="AA17" s="58">
        <v>0</v>
      </c>
      <c r="AB17" s="58">
        <v>0</v>
      </c>
      <c r="AC17" s="58">
        <v>0.84589590777613921</v>
      </c>
      <c r="AD17" s="58">
        <v>1.3690793541153696</v>
      </c>
      <c r="AE17" s="58">
        <v>2.0158688883626987</v>
      </c>
      <c r="AF17" s="58">
        <v>2.4552109970948854</v>
      </c>
      <c r="AG17" s="58">
        <v>3.0496175993901575</v>
      </c>
      <c r="AH17" s="58"/>
      <c r="AI17" s="58"/>
      <c r="AJ17" s="58"/>
      <c r="AL17" s="27" t="str">
        <f>Q17</f>
        <v>Sosanimaux</v>
      </c>
    </row>
    <row r="18" spans="1:38" ht="15" x14ac:dyDescent="0.25">
      <c r="A18" s="46" t="s">
        <v>1379</v>
      </c>
      <c r="B18" s="52">
        <f>SUM(Neyron!B12,Balan!B12,Bronature!B12,Mansart!B12,Sosanimaux!B12,Sosvegetaux!B12)/1000</f>
        <v>61.812232338727263</v>
      </c>
      <c r="C18" s="3" t="s">
        <v>1372</v>
      </c>
      <c r="D18" s="8"/>
      <c r="H18" t="s">
        <v>1399</v>
      </c>
      <c r="Q18" s="27" t="str">
        <f t="shared" si="14"/>
        <v>Sosvegetaux</v>
      </c>
      <c r="R18" s="58">
        <v>0</v>
      </c>
      <c r="S18" s="58">
        <v>0</v>
      </c>
      <c r="T18" s="64">
        <v>0</v>
      </c>
      <c r="U18" s="58">
        <v>0</v>
      </c>
      <c r="V18" s="58">
        <v>0</v>
      </c>
      <c r="W18" s="58">
        <v>0</v>
      </c>
      <c r="X18" s="58">
        <v>0</v>
      </c>
      <c r="Y18" s="58">
        <v>0</v>
      </c>
      <c r="Z18" s="58">
        <v>0</v>
      </c>
      <c r="AA18" s="58">
        <v>0</v>
      </c>
      <c r="AB18" s="58">
        <v>0</v>
      </c>
      <c r="AC18" s="58">
        <v>0.26010503214413239</v>
      </c>
      <c r="AD18" s="58">
        <v>0.48614440057229202</v>
      </c>
      <c r="AE18" s="58">
        <v>0.66071616121206755</v>
      </c>
      <c r="AF18" s="58">
        <v>0.88562472285948823</v>
      </c>
      <c r="AG18" s="58">
        <v>0.99274114220038645</v>
      </c>
      <c r="AH18" s="58"/>
      <c r="AI18" s="58"/>
      <c r="AJ18" s="58"/>
      <c r="AL18" s="27"/>
    </row>
    <row r="19" spans="1:38" ht="15" x14ac:dyDescent="0.25">
      <c r="A19" s="46"/>
      <c r="B19" s="52"/>
      <c r="C19" s="3"/>
      <c r="D19" s="8"/>
      <c r="Q19" s="27" t="str">
        <f t="shared" si="14"/>
        <v>Mansart</v>
      </c>
      <c r="R19" s="58">
        <v>0</v>
      </c>
      <c r="S19" s="58">
        <v>0</v>
      </c>
      <c r="T19" s="64">
        <v>1.9649247094916757E-2</v>
      </c>
      <c r="U19" s="58">
        <v>0.10309145321367569</v>
      </c>
      <c r="V19" s="58">
        <v>0.1806262384237752</v>
      </c>
      <c r="W19" s="58">
        <v>0.43745575308830231</v>
      </c>
      <c r="X19" s="58">
        <v>0.65699308742529994</v>
      </c>
      <c r="Y19" s="58">
        <v>0.74126656627534737</v>
      </c>
      <c r="Z19" s="58">
        <v>0.8670159540767296</v>
      </c>
      <c r="AA19" s="58">
        <v>1.0064680893339668</v>
      </c>
      <c r="AB19" s="58">
        <v>1.0928652958152401</v>
      </c>
      <c r="AC19" s="58">
        <v>1.1984746122443106</v>
      </c>
      <c r="AD19" s="58">
        <v>1.27838086140868</v>
      </c>
      <c r="AE19" s="58">
        <v>1.3761355677448766</v>
      </c>
      <c r="AF19" s="58">
        <v>1.4548051537785796</v>
      </c>
      <c r="AG19" s="58">
        <v>1.5355859648660131</v>
      </c>
      <c r="AH19" s="58"/>
      <c r="AI19" s="58"/>
      <c r="AJ19" s="58"/>
      <c r="AL19" s="27"/>
    </row>
    <row r="20" spans="1:38" x14ac:dyDescent="0.25">
      <c r="C20" s="8"/>
      <c r="D20" s="8"/>
      <c r="E20" s="8"/>
      <c r="F20" s="8"/>
      <c r="G20" s="9"/>
      <c r="Q20" s="27" t="str">
        <f t="shared" si="14"/>
        <v>Bronature</v>
      </c>
      <c r="R20" s="58">
        <v>0</v>
      </c>
      <c r="S20" s="58">
        <v>0</v>
      </c>
      <c r="T20" s="64">
        <v>2.6114454146625662E-2</v>
      </c>
      <c r="U20" s="58">
        <v>0.17752390181374808</v>
      </c>
      <c r="V20" s="58">
        <v>0.36189373674391218</v>
      </c>
      <c r="W20" s="58">
        <v>0.83235605954819003</v>
      </c>
      <c r="X20" s="58">
        <v>1.0895007618803771</v>
      </c>
      <c r="Y20" s="58">
        <v>1.177791385760862</v>
      </c>
      <c r="Z20" s="58">
        <v>1.3549555880377047</v>
      </c>
      <c r="AA20" s="58">
        <v>1.5999398786257406</v>
      </c>
      <c r="AB20" s="58">
        <v>1.6661128569820514</v>
      </c>
      <c r="AC20" s="58">
        <v>1.9467715180484706</v>
      </c>
      <c r="AD20" s="58">
        <v>2.1136816096243689</v>
      </c>
      <c r="AE20" s="58">
        <v>2.2279558221980551</v>
      </c>
      <c r="AF20" s="58">
        <v>2.3685853526123886</v>
      </c>
      <c r="AG20" s="58">
        <v>2.5387280152338332</v>
      </c>
      <c r="AH20" s="58"/>
      <c r="AI20" s="58"/>
      <c r="AJ20" s="58"/>
      <c r="AL20" s="27"/>
    </row>
    <row r="21" spans="1:38" ht="15.75" x14ac:dyDescent="0.25">
      <c r="A21" s="3"/>
      <c r="B21" s="2" t="s">
        <v>1373</v>
      </c>
      <c r="C21" s="8"/>
      <c r="D21" s="8"/>
      <c r="E21" s="8"/>
      <c r="F21" s="8"/>
      <c r="G21" s="9"/>
      <c r="Q21" s="59" t="s">
        <v>1380</v>
      </c>
      <c r="R21" s="70">
        <f t="shared" ref="R21:AH21" si="15">SUM(R15:R17)</f>
        <v>3.6214279013015802</v>
      </c>
      <c r="S21" s="70">
        <f t="shared" si="15"/>
        <v>5.2497466516217948</v>
      </c>
      <c r="T21" s="70">
        <f t="shared" si="15"/>
        <v>6.9416331594852014</v>
      </c>
      <c r="U21" s="70">
        <f t="shared" si="15"/>
        <v>9.4533872593842503</v>
      </c>
      <c r="V21" s="70">
        <f t="shared" si="15"/>
        <v>11.287158929920528</v>
      </c>
      <c r="W21" s="70">
        <f t="shared" si="15"/>
        <v>17.064873672466742</v>
      </c>
      <c r="X21" s="70">
        <f t="shared" si="15"/>
        <v>21.23195817199251</v>
      </c>
      <c r="Y21" s="70">
        <f t="shared" si="15"/>
        <v>22.854794735278638</v>
      </c>
      <c r="Z21" s="70">
        <f t="shared" si="15"/>
        <v>25.873918088448288</v>
      </c>
      <c r="AA21" s="70">
        <f t="shared" si="15"/>
        <v>30.075989206425394</v>
      </c>
      <c r="AB21" s="70">
        <f t="shared" si="15"/>
        <v>32.68813732571072</v>
      </c>
      <c r="AC21" s="70">
        <f t="shared" si="15"/>
        <v>36.941105875883729</v>
      </c>
      <c r="AD21" s="70">
        <f t="shared" si="15"/>
        <v>40.157114381624567</v>
      </c>
      <c r="AE21" s="70">
        <f t="shared" si="15"/>
        <v>43.303877619999618</v>
      </c>
      <c r="AF21" s="70">
        <f t="shared" si="15"/>
        <v>45.566572826259893</v>
      </c>
      <c r="AG21" s="70">
        <f t="shared" si="15"/>
        <v>48.018441313533827</v>
      </c>
      <c r="AH21" s="70">
        <f t="shared" si="15"/>
        <v>0</v>
      </c>
      <c r="AI21" s="7"/>
      <c r="AJ21" s="7"/>
    </row>
    <row r="22" spans="1:38" x14ac:dyDescent="0.25">
      <c r="A22" s="46" t="s">
        <v>1377</v>
      </c>
      <c r="B22" s="57">
        <f>B16/$B$3*1000</f>
        <v>246.22781431768331</v>
      </c>
      <c r="C22" s="3" t="s">
        <v>1386</v>
      </c>
      <c r="D22" s="8"/>
      <c r="E22" s="8"/>
      <c r="F22" s="8"/>
      <c r="G22" s="9"/>
    </row>
    <row r="23" spans="1:38" ht="15" x14ac:dyDescent="0.25">
      <c r="A23" s="46" t="s">
        <v>1378</v>
      </c>
      <c r="B23" s="56">
        <f>B17/$B$3*1000</f>
        <v>3555.7842047816785</v>
      </c>
      <c r="C23" s="3" t="s">
        <v>1348</v>
      </c>
      <c r="D23" s="8"/>
      <c r="E23" s="8"/>
      <c r="F23" s="8"/>
      <c r="G23" s="9"/>
      <c r="Q23" s="60" t="s">
        <v>1383</v>
      </c>
      <c r="R23" s="12">
        <f t="shared" ref="R23:AJ23" si="16">R14</f>
        <v>46009</v>
      </c>
      <c r="S23" s="12">
        <f t="shared" si="16"/>
        <v>46023</v>
      </c>
      <c r="T23" s="12">
        <f t="shared" si="16"/>
        <v>45665</v>
      </c>
      <c r="U23" s="12">
        <f t="shared" si="16"/>
        <v>45673</v>
      </c>
      <c r="V23" s="12">
        <f t="shared" si="16"/>
        <v>45678</v>
      </c>
      <c r="W23" s="12">
        <f t="shared" si="16"/>
        <v>45694</v>
      </c>
      <c r="X23" s="12">
        <f t="shared" si="16"/>
        <v>45706</v>
      </c>
      <c r="Y23" s="12">
        <f t="shared" si="16"/>
        <v>45714</v>
      </c>
      <c r="Z23" s="12">
        <f t="shared" si="16"/>
        <v>45729</v>
      </c>
      <c r="AA23" s="12">
        <f t="shared" si="16"/>
        <v>45743</v>
      </c>
      <c r="AB23" s="12">
        <f t="shared" si="16"/>
        <v>45385</v>
      </c>
      <c r="AC23" s="12">
        <f t="shared" si="16"/>
        <v>45763</v>
      </c>
      <c r="AD23" s="12">
        <f t="shared" si="16"/>
        <v>45781</v>
      </c>
      <c r="AE23" s="12">
        <f t="shared" si="16"/>
        <v>45791</v>
      </c>
      <c r="AF23" s="12">
        <f t="shared" si="16"/>
        <v>45437</v>
      </c>
      <c r="AG23" s="12">
        <f t="shared" si="16"/>
        <v>45446</v>
      </c>
      <c r="AH23" s="12">
        <f t="shared" si="16"/>
        <v>45457</v>
      </c>
      <c r="AI23" s="12">
        <f t="shared" si="16"/>
        <v>45112</v>
      </c>
      <c r="AJ23" s="12">
        <f t="shared" si="16"/>
        <v>45160</v>
      </c>
    </row>
    <row r="24" spans="1:38" x14ac:dyDescent="0.25">
      <c r="A24" s="46" t="s">
        <v>1379</v>
      </c>
      <c r="B24" s="56">
        <f>B18/$B$3*1000</f>
        <v>257.55096807803022</v>
      </c>
      <c r="C24" s="3" t="s">
        <v>1385</v>
      </c>
      <c r="D24" s="8"/>
      <c r="E24" s="8"/>
      <c r="F24" s="8"/>
      <c r="G24" s="9"/>
      <c r="Q24" s="27" t="str">
        <f>Q15</f>
        <v>Neyron</v>
      </c>
      <c r="R24" s="58">
        <f>R15/$B6</f>
        <v>6.4093958127487249E-2</v>
      </c>
      <c r="S24" s="58"/>
      <c r="T24" s="58"/>
      <c r="U24" s="58"/>
      <c r="V24" s="58"/>
      <c r="W24" s="58"/>
      <c r="X24" s="58"/>
      <c r="Y24" s="58"/>
      <c r="Z24" s="58"/>
      <c r="AA24" s="58"/>
      <c r="AB24" s="58"/>
      <c r="AC24" s="58"/>
      <c r="AD24" s="58"/>
      <c r="AE24" s="58"/>
      <c r="AF24" s="58"/>
      <c r="AG24" s="58"/>
      <c r="AH24" s="58"/>
      <c r="AI24" s="58"/>
      <c r="AJ24" s="58"/>
    </row>
    <row r="25" spans="1:38" x14ac:dyDescent="0.25">
      <c r="C25" s="8"/>
      <c r="D25" s="8"/>
      <c r="E25" s="8"/>
      <c r="F25" s="8"/>
      <c r="G25" s="9"/>
      <c r="Q25" s="27" t="str">
        <f>Q16</f>
        <v>Balan</v>
      </c>
      <c r="R25" s="58">
        <f>R16/$B7</f>
        <v>2.338001255674542E-3</v>
      </c>
      <c r="S25" s="58"/>
      <c r="T25" s="58"/>
      <c r="U25" s="58"/>
      <c r="V25" s="58"/>
      <c r="W25" s="58"/>
      <c r="X25" s="58"/>
      <c r="Y25" s="58"/>
      <c r="Z25" s="58"/>
      <c r="AA25" s="58"/>
      <c r="AB25" s="58"/>
      <c r="AC25" s="58"/>
      <c r="AD25" s="58"/>
      <c r="AE25" s="58"/>
      <c r="AF25" s="58"/>
      <c r="AG25" s="58"/>
      <c r="AH25" s="58"/>
      <c r="AI25" s="58"/>
      <c r="AJ25" s="58"/>
    </row>
    <row r="26" spans="1:38" x14ac:dyDescent="0.2">
      <c r="A26" s="4" t="s">
        <v>1361</v>
      </c>
      <c r="C26" s="8"/>
      <c r="D26" s="8"/>
      <c r="E26" s="8"/>
      <c r="F26" s="8"/>
      <c r="G26" s="9"/>
      <c r="Q26" s="27" t="str">
        <f>Q17</f>
        <v>Sosanimaux</v>
      </c>
      <c r="R26" s="58">
        <f>R17/$B8</f>
        <v>0</v>
      </c>
      <c r="S26" s="58"/>
      <c r="T26" s="58"/>
      <c r="U26" s="58"/>
      <c r="V26" s="58"/>
      <c r="W26" s="58"/>
      <c r="X26" s="58"/>
      <c r="Y26" s="58"/>
      <c r="Z26" s="58"/>
      <c r="AA26" s="58"/>
      <c r="AB26" s="58"/>
      <c r="AC26" s="58"/>
      <c r="AD26" s="58"/>
      <c r="AE26" s="58"/>
      <c r="AF26" s="58"/>
      <c r="AG26" s="58"/>
      <c r="AH26" s="58"/>
      <c r="AI26" s="58"/>
      <c r="AJ26" s="58"/>
    </row>
    <row r="27" spans="1:38" ht="15.75" x14ac:dyDescent="0.2">
      <c r="A27" s="41">
        <v>0</v>
      </c>
      <c r="B27" s="3" t="s">
        <v>1371</v>
      </c>
      <c r="C27" s="8"/>
      <c r="D27" s="8"/>
      <c r="E27" s="8"/>
      <c r="F27" s="8"/>
      <c r="G27" s="9"/>
      <c r="Q27" s="59" t="s">
        <v>1380</v>
      </c>
      <c r="R27" s="7">
        <f>SUM(R24:R26)</f>
        <v>6.6431959383161793E-2</v>
      </c>
      <c r="S27" s="7"/>
      <c r="T27" s="7"/>
      <c r="U27" s="7"/>
      <c r="V27" s="7"/>
      <c r="W27" s="7"/>
      <c r="X27" s="7"/>
      <c r="Y27" s="7"/>
      <c r="Z27" s="7"/>
      <c r="AA27" s="7"/>
      <c r="AB27" s="7"/>
      <c r="AC27" s="7"/>
      <c r="AD27" s="7"/>
      <c r="AE27" s="7"/>
      <c r="AF27" s="7"/>
      <c r="AG27" s="7"/>
      <c r="AH27" s="7"/>
      <c r="AI27" s="7"/>
      <c r="AJ27" s="7"/>
    </row>
    <row r="28" spans="1:38" x14ac:dyDescent="0.2">
      <c r="A28" s="41">
        <v>1</v>
      </c>
      <c r="B28" s="3" t="str">
        <f>UPPER("é")&amp;"cureuil"</f>
        <v>Écureuil</v>
      </c>
      <c r="C28" s="8"/>
      <c r="D28" s="8"/>
      <c r="E28" s="8"/>
      <c r="F28" s="8"/>
      <c r="G28" s="9"/>
    </row>
    <row r="29" spans="1:38" ht="15" x14ac:dyDescent="0.2">
      <c r="A29" s="41">
        <v>2</v>
      </c>
      <c r="B29" s="3" t="s">
        <v>1362</v>
      </c>
      <c r="C29" s="47"/>
      <c r="D29" s="8"/>
      <c r="E29" s="8"/>
      <c r="F29" s="8"/>
      <c r="G29" s="9"/>
      <c r="Q29" s="60" t="s">
        <v>1384</v>
      </c>
      <c r="R29" s="12">
        <f t="shared" ref="R29:AJ29" si="17">R23</f>
        <v>46009</v>
      </c>
      <c r="S29" s="12">
        <f t="shared" si="17"/>
        <v>46023</v>
      </c>
      <c r="T29" s="12">
        <f t="shared" si="17"/>
        <v>45665</v>
      </c>
      <c r="U29" s="12">
        <f t="shared" si="17"/>
        <v>45673</v>
      </c>
      <c r="V29" s="12">
        <f t="shared" si="17"/>
        <v>45678</v>
      </c>
      <c r="W29" s="12">
        <f t="shared" si="17"/>
        <v>45694</v>
      </c>
      <c r="X29" s="12">
        <f t="shared" si="17"/>
        <v>45706</v>
      </c>
      <c r="Y29" s="12">
        <f t="shared" si="17"/>
        <v>45714</v>
      </c>
      <c r="Z29" s="12">
        <f t="shared" si="17"/>
        <v>45729</v>
      </c>
      <c r="AA29" s="12">
        <f t="shared" si="17"/>
        <v>45743</v>
      </c>
      <c r="AB29" s="12">
        <f t="shared" si="17"/>
        <v>45385</v>
      </c>
      <c r="AC29" s="12">
        <f t="shared" si="17"/>
        <v>45763</v>
      </c>
      <c r="AD29" s="12">
        <f t="shared" si="17"/>
        <v>45781</v>
      </c>
      <c r="AE29" s="12">
        <f t="shared" si="17"/>
        <v>45791</v>
      </c>
      <c r="AF29" s="12">
        <f t="shared" si="17"/>
        <v>45437</v>
      </c>
      <c r="AG29" s="12">
        <f t="shared" si="17"/>
        <v>45446</v>
      </c>
      <c r="AH29" s="12">
        <f t="shared" si="17"/>
        <v>45457</v>
      </c>
      <c r="AI29" s="12">
        <f t="shared" si="17"/>
        <v>45112</v>
      </c>
      <c r="AJ29" s="12">
        <f t="shared" si="17"/>
        <v>45160</v>
      </c>
    </row>
    <row r="30" spans="1:38" x14ac:dyDescent="0.2">
      <c r="A30" s="41">
        <v>3</v>
      </c>
      <c r="B30" s="3" t="s">
        <v>1363</v>
      </c>
      <c r="C30" s="8"/>
      <c r="D30" s="8"/>
      <c r="E30" s="8"/>
      <c r="F30" s="8"/>
      <c r="G30" s="9"/>
      <c r="Q30" s="27" t="str">
        <f>Q24</f>
        <v>Neyron</v>
      </c>
      <c r="R30" s="7">
        <f>(R24/R$27)*R$21</f>
        <v>3.493975647007181</v>
      </c>
      <c r="S30" s="7"/>
      <c r="T30" s="7"/>
      <c r="U30" s="7"/>
      <c r="V30" s="7"/>
      <c r="W30" s="7"/>
      <c r="X30" s="7"/>
      <c r="Y30" s="7"/>
      <c r="Z30" s="7"/>
      <c r="AA30" s="7"/>
      <c r="AB30" s="7"/>
      <c r="AC30" s="7"/>
      <c r="AD30" s="7"/>
      <c r="AE30" s="7"/>
      <c r="AF30" s="7"/>
      <c r="AG30" s="7"/>
      <c r="AH30" s="7"/>
      <c r="AI30" s="7"/>
      <c r="AJ30" s="7"/>
    </row>
    <row r="31" spans="1:38" x14ac:dyDescent="0.2">
      <c r="A31" s="41">
        <v>4</v>
      </c>
      <c r="B31" s="3" t="s">
        <v>1364</v>
      </c>
      <c r="C31" s="8"/>
      <c r="D31" s="8"/>
      <c r="E31" s="8"/>
      <c r="F31" s="8"/>
      <c r="G31" s="9"/>
      <c r="Q31" s="27" t="str">
        <f t="shared" ref="Q31:Q32" si="18">Q25</f>
        <v>Balan</v>
      </c>
      <c r="R31" s="7">
        <f>(R25/R$27)*R$21</f>
        <v>0.12745225429439888</v>
      </c>
      <c r="S31" s="7"/>
      <c r="T31" s="7"/>
      <c r="U31" s="7"/>
      <c r="V31" s="7"/>
      <c r="W31" s="7"/>
      <c r="X31" s="7"/>
      <c r="Y31" s="7"/>
      <c r="Z31" s="7"/>
      <c r="AA31" s="7"/>
      <c r="AB31" s="7"/>
      <c r="AC31" s="7"/>
      <c r="AD31" s="7"/>
      <c r="AE31" s="7"/>
      <c r="AF31" s="7"/>
      <c r="AG31" s="7"/>
      <c r="AH31" s="7"/>
      <c r="AI31" s="7"/>
      <c r="AJ31" s="7"/>
    </row>
    <row r="32" spans="1:38" x14ac:dyDescent="0.2">
      <c r="A32" s="41">
        <v>5</v>
      </c>
      <c r="B32" s="3" t="str">
        <f>UPPER("é")&amp;"léphant"</f>
        <v>Éléphant</v>
      </c>
      <c r="C32" s="8"/>
      <c r="D32" s="8"/>
      <c r="E32" s="8"/>
      <c r="F32" s="8"/>
      <c r="G32" s="9"/>
      <c r="Q32" s="27" t="str">
        <f t="shared" si="18"/>
        <v>Sosanimaux</v>
      </c>
      <c r="R32" s="7">
        <f>(R26/R$27)*R$21</f>
        <v>0</v>
      </c>
      <c r="S32" s="7"/>
      <c r="T32" s="7"/>
      <c r="U32" s="7"/>
      <c r="V32" s="7"/>
      <c r="W32" s="7"/>
      <c r="X32" s="7"/>
      <c r="Y32" s="7"/>
      <c r="Z32" s="7"/>
      <c r="AA32" s="7"/>
      <c r="AB32" s="7"/>
      <c r="AC32" s="7"/>
      <c r="AD32" s="7"/>
      <c r="AE32" s="7"/>
      <c r="AF32" s="7"/>
      <c r="AG32" s="7"/>
      <c r="AH32" s="7"/>
      <c r="AI32" s="7"/>
      <c r="AJ32" s="7"/>
    </row>
    <row r="33" spans="1:23" ht="15.75" x14ac:dyDescent="0.2">
      <c r="A33" s="41">
        <v>6</v>
      </c>
      <c r="B33" s="3" t="s">
        <v>1365</v>
      </c>
      <c r="C33" s="8"/>
      <c r="D33" s="8"/>
      <c r="E33" s="8"/>
      <c r="F33" s="8"/>
      <c r="G33" s="9"/>
      <c r="Q33" s="59" t="s">
        <v>1380</v>
      </c>
      <c r="S33" s="8"/>
      <c r="T33" s="9"/>
    </row>
    <row r="34" spans="1:23" x14ac:dyDescent="0.2">
      <c r="A34" s="41">
        <v>7</v>
      </c>
      <c r="B34" s="3" t="s">
        <v>1366</v>
      </c>
      <c r="C34" s="8"/>
      <c r="D34" s="8"/>
      <c r="E34" s="8"/>
      <c r="F34" s="8"/>
      <c r="G34" s="9"/>
      <c r="S34" s="8"/>
      <c r="T34" s="9"/>
    </row>
    <row r="35" spans="1:23" x14ac:dyDescent="0.2">
      <c r="A35" s="41">
        <v>8</v>
      </c>
      <c r="B35" s="3" t="s">
        <v>1367</v>
      </c>
      <c r="C35" s="8"/>
      <c r="D35" s="8"/>
      <c r="E35" s="8"/>
      <c r="F35" s="8"/>
      <c r="G35" s="9"/>
      <c r="R35" s="7"/>
      <c r="S35" s="7"/>
      <c r="T35" s="7"/>
      <c r="U35" s="7"/>
      <c r="V35" s="7"/>
      <c r="W35" s="7"/>
    </row>
    <row r="36" spans="1:23" x14ac:dyDescent="0.2">
      <c r="A36" s="41">
        <v>9</v>
      </c>
      <c r="B36" s="3" t="s">
        <v>1368</v>
      </c>
      <c r="C36" s="8"/>
      <c r="D36" s="8"/>
      <c r="E36" s="8"/>
      <c r="F36" s="8"/>
      <c r="G36" s="9"/>
      <c r="R36" s="7"/>
      <c r="S36" s="7"/>
      <c r="T36" s="7"/>
      <c r="U36" s="7"/>
      <c r="V36" s="7"/>
      <c r="W36" s="7"/>
    </row>
    <row r="37" spans="1:23" x14ac:dyDescent="0.25">
      <c r="C37" s="8"/>
      <c r="D37" s="8"/>
      <c r="E37" s="8"/>
      <c r="F37" s="8"/>
      <c r="G37" s="9"/>
      <c r="R37" s="7"/>
      <c r="S37" s="7"/>
      <c r="T37" s="7"/>
      <c r="U37" s="7"/>
      <c r="V37" s="7"/>
      <c r="W37" s="7"/>
    </row>
    <row r="38" spans="1:23" x14ac:dyDescent="0.25">
      <c r="C38" s="8"/>
      <c r="D38" s="8"/>
      <c r="E38" s="8"/>
      <c r="F38" s="8"/>
      <c r="G38" s="9"/>
      <c r="R38" s="7"/>
      <c r="S38" s="7"/>
      <c r="T38" s="7"/>
      <c r="U38" s="7"/>
      <c r="V38" s="7"/>
      <c r="W38" s="7"/>
    </row>
    <row r="39" spans="1:23" x14ac:dyDescent="0.25">
      <c r="C39" s="8"/>
      <c r="D39" s="8"/>
      <c r="E39" s="8"/>
      <c r="F39" s="8"/>
      <c r="G39" s="9"/>
      <c r="R39" s="7"/>
      <c r="S39" s="7"/>
      <c r="T39" s="7"/>
      <c r="U39" s="7"/>
      <c r="V39" s="7"/>
      <c r="W39" s="7"/>
    </row>
    <row r="40" spans="1:23" x14ac:dyDescent="0.25">
      <c r="C40" s="8"/>
      <c r="D40" s="8"/>
      <c r="E40" s="8"/>
      <c r="F40" s="8"/>
      <c r="G40" s="9"/>
      <c r="R40" s="7"/>
      <c r="S40" s="7"/>
      <c r="T40" s="7"/>
      <c r="U40" s="7"/>
      <c r="V40" s="7"/>
      <c r="W40" s="7"/>
    </row>
    <row r="41" spans="1:23" x14ac:dyDescent="0.25">
      <c r="C41" s="8"/>
      <c r="D41" s="8"/>
      <c r="E41" s="8"/>
      <c r="F41" s="8"/>
      <c r="G41" s="9"/>
      <c r="S41" s="44"/>
    </row>
    <row r="42" spans="1:23" x14ac:dyDescent="0.25">
      <c r="C42" s="8"/>
      <c r="D42" s="8"/>
      <c r="E42" s="8"/>
      <c r="F42" s="8"/>
      <c r="G42" s="9"/>
      <c r="S42" s="44"/>
    </row>
    <row r="43" spans="1:23" x14ac:dyDescent="0.25">
      <c r="C43" s="8"/>
      <c r="D43" s="8"/>
      <c r="E43" s="8"/>
      <c r="F43" s="8"/>
      <c r="G43" s="9"/>
      <c r="S43" s="7"/>
    </row>
    <row r="44" spans="1:23" x14ac:dyDescent="0.25">
      <c r="C44" s="8"/>
      <c r="D44" s="8"/>
      <c r="E44" s="8"/>
      <c r="F44" s="8"/>
      <c r="G44" s="9"/>
      <c r="S44" s="7"/>
    </row>
    <row r="45" spans="1:23" x14ac:dyDescent="0.25">
      <c r="C45" s="8"/>
      <c r="D45" s="8"/>
      <c r="E45" s="8"/>
      <c r="F45" s="8"/>
      <c r="G45" s="9"/>
      <c r="S45" s="7"/>
    </row>
    <row r="46" spans="1:23" x14ac:dyDescent="0.25">
      <c r="C46" s="8"/>
      <c r="D46" s="8"/>
      <c r="E46" s="8"/>
      <c r="F46" s="8"/>
      <c r="G46" s="9"/>
      <c r="S46" s="7"/>
    </row>
    <row r="47" spans="1:23" x14ac:dyDescent="0.25">
      <c r="C47" s="8"/>
      <c r="D47" s="8"/>
      <c r="E47" s="8"/>
      <c r="F47" s="8"/>
      <c r="G47" s="9"/>
    </row>
    <row r="48" spans="1:23" x14ac:dyDescent="0.25">
      <c r="C48" s="8"/>
      <c r="D48" s="8"/>
      <c r="E48" s="8"/>
      <c r="F48" s="8"/>
      <c r="G48" s="9"/>
    </row>
    <row r="49" spans="1:7" x14ac:dyDescent="0.25">
      <c r="C49" s="8"/>
      <c r="D49" s="8"/>
      <c r="E49" s="8"/>
      <c r="F49" s="8"/>
      <c r="G49" s="9"/>
    </row>
    <row r="50" spans="1:7" x14ac:dyDescent="0.25">
      <c r="C50" s="8"/>
      <c r="D50" s="8"/>
      <c r="E50" s="8"/>
      <c r="F50" s="8"/>
      <c r="G50" s="9"/>
    </row>
    <row r="51" spans="1:7" x14ac:dyDescent="0.25">
      <c r="C51" s="8"/>
      <c r="D51" s="8"/>
      <c r="E51" s="8"/>
      <c r="F51" s="8"/>
      <c r="G51" s="9"/>
    </row>
    <row r="52" spans="1:7" x14ac:dyDescent="0.25">
      <c r="C52" s="8"/>
      <c r="D52" s="8"/>
      <c r="E52" s="8"/>
      <c r="F52" s="8"/>
      <c r="G52" s="9"/>
    </row>
    <row r="53" spans="1:7" x14ac:dyDescent="0.25">
      <c r="C53" s="8"/>
      <c r="D53" s="8"/>
      <c r="E53" s="8"/>
      <c r="F53" s="8"/>
      <c r="G53" s="9"/>
    </row>
    <row r="54" spans="1:7" x14ac:dyDescent="0.2">
      <c r="A54" s="4"/>
      <c r="C54" s="8"/>
      <c r="D54" s="8"/>
      <c r="E54" s="8"/>
      <c r="F54" s="8"/>
      <c r="G54" s="9"/>
    </row>
    <row r="55" spans="1:7" x14ac:dyDescent="0.2">
      <c r="A55" s="4"/>
      <c r="C55" s="8"/>
      <c r="D55" s="8"/>
      <c r="E55" s="8"/>
      <c r="F55" s="8"/>
      <c r="G55" s="9"/>
    </row>
    <row r="56" spans="1:7" x14ac:dyDescent="0.2">
      <c r="A56" s="4"/>
      <c r="C56" s="8"/>
      <c r="D56" s="8"/>
      <c r="E56" s="8"/>
      <c r="F56" s="8"/>
      <c r="G56" s="9"/>
    </row>
    <row r="57" spans="1:7" x14ac:dyDescent="0.2">
      <c r="A57" s="4"/>
      <c r="C57" s="8"/>
      <c r="D57" s="8"/>
      <c r="E57" s="8"/>
      <c r="F57" s="8"/>
      <c r="G57" s="9"/>
    </row>
    <row r="58" spans="1:7" x14ac:dyDescent="0.2">
      <c r="A58" s="4"/>
      <c r="C58" s="8"/>
      <c r="D58" s="8"/>
      <c r="E58" s="8"/>
      <c r="F58" s="8"/>
      <c r="G58" s="9"/>
    </row>
    <row r="59" spans="1:7" x14ac:dyDescent="0.2">
      <c r="A59" s="4"/>
      <c r="C59" s="8"/>
      <c r="D59" s="8"/>
      <c r="E59" s="8"/>
      <c r="F59" s="8"/>
      <c r="G59" s="9"/>
    </row>
    <row r="60" spans="1:7" x14ac:dyDescent="0.2">
      <c r="A60" s="4"/>
      <c r="C60" s="8"/>
      <c r="D60" s="8"/>
      <c r="E60" s="8"/>
      <c r="F60" s="8"/>
      <c r="G60" s="9"/>
    </row>
    <row r="61" spans="1:7" x14ac:dyDescent="0.2">
      <c r="A61" s="4"/>
      <c r="C61" s="8"/>
      <c r="D61" s="8"/>
      <c r="E61" s="8"/>
      <c r="F61" s="8"/>
      <c r="G61" s="9"/>
    </row>
    <row r="62" spans="1:7" x14ac:dyDescent="0.2">
      <c r="A62" s="4"/>
      <c r="C62" s="8"/>
      <c r="D62" s="8"/>
      <c r="E62" s="8"/>
      <c r="F62" s="8"/>
      <c r="G62" s="9"/>
    </row>
    <row r="63" spans="1:7" x14ac:dyDescent="0.2">
      <c r="A63" s="4"/>
      <c r="C63" s="8"/>
      <c r="D63" s="8"/>
      <c r="E63" s="8"/>
      <c r="F63" s="8"/>
      <c r="G63" s="9"/>
    </row>
    <row r="64" spans="1:7" x14ac:dyDescent="0.2">
      <c r="A64" s="4"/>
      <c r="C64" s="8"/>
      <c r="D64" s="8"/>
      <c r="E64" s="8"/>
      <c r="F64" s="8"/>
      <c r="G64" s="9"/>
    </row>
    <row r="65" spans="1:7" x14ac:dyDescent="0.2">
      <c r="A65" s="4"/>
      <c r="C65" s="8"/>
      <c r="D65" s="8"/>
      <c r="E65" s="8"/>
      <c r="F65" s="8"/>
      <c r="G65" s="9"/>
    </row>
    <row r="66" spans="1:7" x14ac:dyDescent="0.2">
      <c r="A66" s="4"/>
      <c r="C66" s="8"/>
      <c r="D66" s="8"/>
      <c r="E66" s="8"/>
      <c r="F66" s="8"/>
      <c r="G66" s="9"/>
    </row>
    <row r="67" spans="1:7" x14ac:dyDescent="0.2">
      <c r="A67" s="4"/>
      <c r="C67" s="8"/>
      <c r="D67" s="8"/>
      <c r="E67" s="8"/>
      <c r="F67" s="8"/>
      <c r="G67" s="9"/>
    </row>
    <row r="68" spans="1:7" x14ac:dyDescent="0.2">
      <c r="A68" s="4"/>
      <c r="C68" s="8"/>
      <c r="D68" s="8"/>
      <c r="E68" s="8"/>
      <c r="F68" s="8"/>
      <c r="G68" s="9"/>
    </row>
    <row r="69" spans="1:7" x14ac:dyDescent="0.2">
      <c r="A69" s="4"/>
      <c r="C69" s="8"/>
      <c r="D69" s="8"/>
      <c r="E69" s="8"/>
      <c r="F69" s="8"/>
      <c r="G69" s="9"/>
    </row>
    <row r="70" spans="1:7" x14ac:dyDescent="0.2">
      <c r="A70" s="4"/>
      <c r="C70" s="8"/>
      <c r="D70" s="8"/>
      <c r="E70" s="8"/>
      <c r="F70" s="8"/>
      <c r="G70" s="9"/>
    </row>
  </sheetData>
  <mergeCells count="1">
    <mergeCell ref="Q1:Q2"/>
  </mergeCells>
  <conditionalFormatting sqref="L6:L11">
    <cfRule type="expression" dxfId="0" priority="1">
      <formula>IF($K6:$K10 &lt;&gt;$L6:$L10,TRUE,FALSE)</formula>
    </cfRule>
  </conditionalFormatting>
  <pageMargins left="0.7" right="0.7" top="0.75" bottom="0.75" header="0.3" footer="0.3"/>
  <pageSetup paperSize="9"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7B78-46D2-4E9F-B909-E99AA459A27B}">
  <sheetPr codeName="Feuil1"/>
  <dimension ref="A1:I18"/>
  <sheetViews>
    <sheetView zoomScale="115" zoomScaleNormal="115" workbookViewId="0">
      <selection activeCell="E1" sqref="E1"/>
    </sheetView>
  </sheetViews>
  <sheetFormatPr baseColWidth="10" defaultColWidth="8.7109375" defaultRowHeight="15" x14ac:dyDescent="0.25"/>
  <cols>
    <col min="1" max="1" width="47.7109375" bestFit="1" customWidth="1"/>
    <col min="2" max="2" width="10" style="30" bestFit="1" customWidth="1"/>
    <col min="3" max="3" width="14.28515625" style="31" customWidth="1"/>
    <col min="5" max="5" width="12.5703125" bestFit="1" customWidth="1"/>
    <col min="9" max="9" width="12" bestFit="1" customWidth="1"/>
  </cols>
  <sheetData>
    <row r="1" spans="1:9" ht="21" x14ac:dyDescent="0.35">
      <c r="A1" s="29" t="str">
        <f>UPPER("Déblocage Animaux")</f>
        <v>DÉBLOCAGE ANIMAUX</v>
      </c>
      <c r="B1" s="30">
        <f>'[1]Déblocage animaux'!$J$3</f>
        <v>6</v>
      </c>
      <c r="C1" s="31" t="s">
        <v>1342</v>
      </c>
      <c r="D1" s="42" t="str">
        <f>VLOOKUP(B1,'°C | espace | équipe | groupe'!A28:B36,2)</f>
        <v>Poisson</v>
      </c>
      <c r="E1" s="75" t="s">
        <v>1400</v>
      </c>
      <c r="I1" s="63" t="str" cm="1">
        <f t="array" aca="1" ref="I1" ca="1">UPPER(RIGHT(CELL("filename",A1),LEN(CELL("filename",A1))-SEARCH("]",CELL("filename",A1))))</f>
        <v>BALAN</v>
      </c>
    </row>
    <row r="2" spans="1:9" x14ac:dyDescent="0.25">
      <c r="A2" s="33" t="s">
        <v>1387</v>
      </c>
      <c r="B2" s="62">
        <f>[1]Actions!$B$22</f>
        <v>6.783383776803479</v>
      </c>
      <c r="D2" s="18" t="str">
        <f>VLOOKUP(B1+1,'°C | espace | équipe | groupe'!A28:B36,2)</f>
        <v>Thon</v>
      </c>
    </row>
    <row r="3" spans="1:9" ht="18.75" x14ac:dyDescent="0.3">
      <c r="A3" s="29" t="str">
        <f>UPPER("Nombre de joueurs")</f>
        <v>NOMBRE DE JOUEURS</v>
      </c>
      <c r="B3" s="30" cm="1">
        <f t="array" ref="B3">[1]!Nb_Joueur</f>
        <v>96</v>
      </c>
      <c r="C3" s="31" t="s">
        <v>1342</v>
      </c>
    </row>
    <row r="5" spans="1:9" ht="18.75" x14ac:dyDescent="0.3">
      <c r="A5" s="29" t="str">
        <f>UPPER("Impact à Saisir dans l'administration")</f>
        <v>IMPACT À SAISIR DANS L'ADMINISTRATION</v>
      </c>
      <c r="C5" s="31" t="s">
        <v>1356</v>
      </c>
    </row>
    <row r="6" spans="1:9" x14ac:dyDescent="0.25">
      <c r="A6" s="32" t="s">
        <v>1343</v>
      </c>
    </row>
    <row r="7" spans="1:9" x14ac:dyDescent="0.25">
      <c r="A7" s="33" t="s">
        <v>1344</v>
      </c>
    </row>
    <row r="8" spans="1:9" x14ac:dyDescent="0.25">
      <c r="A8" s="33" t="s">
        <v>1345</v>
      </c>
      <c r="B8" s="34">
        <f>[1]Actions!$B$25</f>
        <v>13.12353964937364</v>
      </c>
      <c r="C8" s="35" t="s">
        <v>1339</v>
      </c>
    </row>
    <row r="9" spans="1:9" x14ac:dyDescent="0.25">
      <c r="A9" s="33" t="s">
        <v>1346</v>
      </c>
      <c r="B9" s="38">
        <f>'[1]Déblocage animaux'!$L$7</f>
        <v>27.366616139649103</v>
      </c>
      <c r="C9" s="35" t="s">
        <v>1339</v>
      </c>
      <c r="D9" s="38">
        <v>146.30009074344801</v>
      </c>
    </row>
    <row r="10" spans="1:9" x14ac:dyDescent="0.25">
      <c r="A10" s="33" t="s">
        <v>1347</v>
      </c>
      <c r="B10" s="50">
        <f>[1]Actions!$B$26</f>
        <v>162513.4000000011</v>
      </c>
      <c r="C10" s="35" t="s">
        <v>1348</v>
      </c>
    </row>
    <row r="11" spans="1:9" x14ac:dyDescent="0.25">
      <c r="A11" s="33" t="s">
        <v>1349</v>
      </c>
      <c r="B11" s="51">
        <f>[1]Actions!$B$12</f>
        <v>158966.40000000002</v>
      </c>
      <c r="C11" s="35" t="s">
        <v>1348</v>
      </c>
    </row>
    <row r="12" spans="1:9" x14ac:dyDescent="0.25">
      <c r="A12" s="33" t="s">
        <v>1350</v>
      </c>
      <c r="B12" s="50">
        <f>[1]Actions!$B$27</f>
        <v>10081.741538461505</v>
      </c>
      <c r="C12" s="35" t="s">
        <v>1351</v>
      </c>
    </row>
    <row r="13" spans="1:9" x14ac:dyDescent="0.25">
      <c r="A13" s="33" t="s">
        <v>1352</v>
      </c>
      <c r="B13" s="51">
        <f>[1]Actions!$B$13</f>
        <v>110557.99384615383</v>
      </c>
      <c r="C13" s="35" t="s">
        <v>1351</v>
      </c>
    </row>
    <row r="14" spans="1:9" x14ac:dyDescent="0.25">
      <c r="A14" s="33" t="s">
        <v>1353</v>
      </c>
      <c r="B14" s="36">
        <f>[1]Actions!$B$31</f>
        <v>1.7339948991830454</v>
      </c>
      <c r="C14" s="35"/>
    </row>
    <row r="15" spans="1:9" x14ac:dyDescent="0.25">
      <c r="A15" s="33" t="s">
        <v>1354</v>
      </c>
      <c r="B15" s="37">
        <f>B16+B18</f>
        <v>45507</v>
      </c>
      <c r="C15" s="45">
        <f>[1]Actions!$B$30</f>
        <v>45872.496582297885</v>
      </c>
    </row>
    <row r="16" spans="1:9" x14ac:dyDescent="0.25">
      <c r="A16" s="33" t="s">
        <v>1355</v>
      </c>
      <c r="B16" s="37">
        <f>'°C | espace | équipe | groupe'!L1</f>
        <v>45505</v>
      </c>
      <c r="C16" s="35"/>
      <c r="E16" s="61"/>
      <c r="F16" s="61"/>
    </row>
    <row r="18" spans="1:4" x14ac:dyDescent="0.25">
      <c r="A18" s="33" t="s">
        <v>1369</v>
      </c>
      <c r="B18" s="52">
        <f>FLOOR(C15-B16,1)- '[1]Synthèse Impact &amp; EOD'!$R$3</f>
        <v>2</v>
      </c>
      <c r="D18" s="55"/>
    </row>
  </sheetData>
  <hyperlinks>
    <hyperlink ref="I1" r:id="rId1" display="(Balan) - Calcul impact v4.2.xlsm" xr:uid="{CF9789AB-6D56-4B2A-A0EA-EEA3EB5B0845}"/>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74A43-CF04-4CA9-AE22-C13BD4CAD040}">
  <sheetPr codeName="Feuil2"/>
  <dimension ref="A1:I18"/>
  <sheetViews>
    <sheetView zoomScale="115" zoomScaleNormal="115" workbookViewId="0">
      <selection activeCell="E4" sqref="E4"/>
    </sheetView>
  </sheetViews>
  <sheetFormatPr baseColWidth="10" defaultColWidth="8.7109375" defaultRowHeight="15" x14ac:dyDescent="0.25"/>
  <cols>
    <col min="1" max="1" width="47.7109375" bestFit="1" customWidth="1"/>
    <col min="2" max="2" width="10" style="30" bestFit="1" customWidth="1"/>
    <col min="3" max="3" width="14.28515625" style="31" customWidth="1"/>
    <col min="5" max="5" width="12.5703125" bestFit="1" customWidth="1"/>
    <col min="9" max="9" width="17" bestFit="1" customWidth="1"/>
  </cols>
  <sheetData>
    <row r="1" spans="1:9" ht="21" x14ac:dyDescent="0.35">
      <c r="A1" s="29" t="str">
        <f>UPPER("Déblocage Animaux")</f>
        <v>DÉBLOCAGE ANIMAUX</v>
      </c>
      <c r="B1" s="30">
        <f>'[2]Déblocage animaux'!$J$3</f>
        <v>6</v>
      </c>
      <c r="C1" s="31" t="s">
        <v>1342</v>
      </c>
      <c r="D1" s="42" t="str">
        <f>VLOOKUP(B1,'°C | espace | équipe | groupe'!A28:B36,2)</f>
        <v>Poisson</v>
      </c>
      <c r="E1" s="75" t="s">
        <v>1401</v>
      </c>
      <c r="I1" s="63" t="str" cm="1">
        <f t="array" aca="1" ref="I1" ca="1">UPPER(RIGHT(CELL("filename",A1),LEN(CELL("filename",A1))-SEARCH("]",CELL("filename",A1))))</f>
        <v>BRONATURE</v>
      </c>
    </row>
    <row r="2" spans="1:9" x14ac:dyDescent="0.25">
      <c r="A2" s="33" t="s">
        <v>1387</v>
      </c>
      <c r="B2" s="76" t="s">
        <v>590</v>
      </c>
      <c r="D2" s="18" t="str">
        <f>VLOOKUP(B1+1,'°C | espace | équipe | groupe'!A28:B36,2)</f>
        <v>Thon</v>
      </c>
    </row>
    <row r="3" spans="1:9" ht="18.75" x14ac:dyDescent="0.3">
      <c r="A3" s="29" t="str">
        <f>UPPER("Nombre de joueurs")</f>
        <v>NOMBRE DE JOUEURS</v>
      </c>
      <c r="B3" s="30" cm="1">
        <f t="array" ref="B3">[2]!Nb_Joueur</f>
        <v>50</v>
      </c>
      <c r="C3" s="31" t="s">
        <v>1342</v>
      </c>
    </row>
    <row r="5" spans="1:9" ht="18.75" x14ac:dyDescent="0.3">
      <c r="A5" s="29" t="str">
        <f>UPPER("Impact à Saisir dans l'administration")</f>
        <v>IMPACT À SAISIR DANS L'ADMINISTRATION</v>
      </c>
      <c r="C5" s="31" t="s">
        <v>1356</v>
      </c>
    </row>
    <row r="6" spans="1:9" x14ac:dyDescent="0.25">
      <c r="A6" s="32" t="s">
        <v>1343</v>
      </c>
    </row>
    <row r="7" spans="1:9" x14ac:dyDescent="0.25">
      <c r="A7" s="33" t="s">
        <v>1344</v>
      </c>
    </row>
    <row r="8" spans="1:9" x14ac:dyDescent="0.25">
      <c r="A8" s="33" t="s">
        <v>1345</v>
      </c>
      <c r="B8" s="36">
        <f>[2]Actions!$B$25</f>
        <v>2.8630520204843828</v>
      </c>
      <c r="C8" s="35" t="s">
        <v>1339</v>
      </c>
    </row>
    <row r="9" spans="1:9" x14ac:dyDescent="0.25">
      <c r="A9" s="33" t="s">
        <v>1346</v>
      </c>
      <c r="B9" s="38">
        <f>'[2]Déblocage animaux'!$L$7</f>
        <v>5.8470790108570352</v>
      </c>
      <c r="C9" s="35" t="s">
        <v>1339</v>
      </c>
      <c r="D9" s="38">
        <v>146.30009074344801</v>
      </c>
    </row>
    <row r="10" spans="1:9" x14ac:dyDescent="0.25">
      <c r="A10" s="33" t="s">
        <v>1347</v>
      </c>
      <c r="B10" s="50">
        <f>[2]Actions!$B$26</f>
        <v>89968.200000000419</v>
      </c>
      <c r="C10" s="35" t="s">
        <v>1348</v>
      </c>
    </row>
    <row r="11" spans="1:9" x14ac:dyDescent="0.25">
      <c r="A11" s="33" t="s">
        <v>1349</v>
      </c>
      <c r="B11" s="51">
        <f>[2]Actions!$B$12</f>
        <v>480480</v>
      </c>
      <c r="C11" s="35" t="s">
        <v>1348</v>
      </c>
    </row>
    <row r="12" spans="1:9" x14ac:dyDescent="0.25">
      <c r="A12" s="33" t="s">
        <v>1350</v>
      </c>
      <c r="B12" s="50">
        <f>[2]Actions!$B$27</f>
        <v>1634.5300000000011</v>
      </c>
      <c r="C12" s="35" t="s">
        <v>1351</v>
      </c>
    </row>
    <row r="13" spans="1:9" x14ac:dyDescent="0.25">
      <c r="A13" s="33" t="s">
        <v>1352</v>
      </c>
      <c r="B13" s="51">
        <f>[2]Actions!$B$13</f>
        <v>403</v>
      </c>
      <c r="C13" s="35" t="s">
        <v>1351</v>
      </c>
    </row>
    <row r="14" spans="1:9" x14ac:dyDescent="0.25">
      <c r="A14" s="33" t="s">
        <v>1353</v>
      </c>
      <c r="B14" s="36">
        <f>[2]Actions!$B$31</f>
        <v>1.7456776194190189</v>
      </c>
      <c r="C14" s="35"/>
    </row>
    <row r="15" spans="1:9" x14ac:dyDescent="0.25">
      <c r="A15" s="33" t="s">
        <v>1354</v>
      </c>
      <c r="B15" s="37">
        <f>B16+B18</f>
        <v>45506</v>
      </c>
      <c r="C15" s="45">
        <f>[2]Actions!$B$30</f>
        <v>45871.087861320855</v>
      </c>
    </row>
    <row r="16" spans="1:9" x14ac:dyDescent="0.25">
      <c r="A16" s="33" t="s">
        <v>1355</v>
      </c>
      <c r="B16" s="37">
        <f>'°C | espace | équipe | groupe'!L1</f>
        <v>45505</v>
      </c>
      <c r="C16" s="35"/>
      <c r="E16" s="61"/>
      <c r="F16" s="61"/>
    </row>
    <row r="18" spans="1:4" x14ac:dyDescent="0.25">
      <c r="A18" s="33" t="s">
        <v>1369</v>
      </c>
      <c r="B18" s="52">
        <f>FLOOR(C15-B16,1)-'[2]Synthèse Impact &amp; EOD'!$R$3</f>
        <v>1</v>
      </c>
      <c r="D18" s="55"/>
    </row>
  </sheetData>
  <hyperlinks>
    <hyperlink ref="I1" r:id="rId1" display="(Bron) - Calcul impact v4.2.xlsm" xr:uid="{B5BB23F6-E917-4D09-8D71-56C083A90075}"/>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4EE47-1C9D-49DC-AE8E-60D851E8E87F}">
  <sheetPr codeName="Feuil4"/>
  <dimension ref="A1:I18"/>
  <sheetViews>
    <sheetView zoomScale="115" zoomScaleNormal="115" workbookViewId="0">
      <selection activeCell="E1" sqref="E1"/>
    </sheetView>
  </sheetViews>
  <sheetFormatPr baseColWidth="10" defaultColWidth="8.7109375" defaultRowHeight="15" x14ac:dyDescent="0.25"/>
  <cols>
    <col min="1" max="1" width="47.7109375" bestFit="1" customWidth="1"/>
    <col min="2" max="2" width="10" style="30" bestFit="1" customWidth="1"/>
    <col min="3" max="3" width="14.28515625" style="31" customWidth="1"/>
    <col min="9" max="9" width="15.28515625" customWidth="1"/>
  </cols>
  <sheetData>
    <row r="1" spans="1:9" ht="21" x14ac:dyDescent="0.35">
      <c r="A1" s="29" t="str">
        <f>UPPER("Déblocage Animaux")</f>
        <v>DÉBLOCAGE ANIMAUX</v>
      </c>
      <c r="B1" s="30">
        <f>'[3]Déblocage animaux'!$J$3</f>
        <v>5</v>
      </c>
      <c r="C1" s="31" t="s">
        <v>1342</v>
      </c>
      <c r="D1" s="42" t="str">
        <f>VLOOKUP(B1,'°C | espace | équipe | groupe'!A28:B36,2)</f>
        <v>Éléphant</v>
      </c>
      <c r="E1" s="75" t="s">
        <v>1400</v>
      </c>
      <c r="I1" s="63" t="str" cm="1">
        <f t="array" aca="1" ref="I1" ca="1">UPPER(RIGHT(CELL("filename",A1),LEN(CELL("filename",A1))-SEARCH("]",CELL("filename",A1))))</f>
        <v>MANSART</v>
      </c>
    </row>
    <row r="2" spans="1:9" x14ac:dyDescent="0.25">
      <c r="A2" s="33" t="s">
        <v>1387</v>
      </c>
      <c r="B2" s="62">
        <f>[3]Actions!$B$22</f>
        <v>4.6845214075778205</v>
      </c>
      <c r="D2" s="18" t="str">
        <f>VLOOKUP(B1+1,'°C | espace | équipe | groupe'!A28:B36,2)</f>
        <v>Poisson</v>
      </c>
    </row>
    <row r="3" spans="1:9" ht="18.75" x14ac:dyDescent="0.3">
      <c r="A3" s="29" t="str">
        <f>UPPER("Nombre de joueurs")</f>
        <v>NOMBRE DE JOUEURS</v>
      </c>
      <c r="B3" s="30" cm="1">
        <f t="array" ref="B3">[3]!Nb_Joueur</f>
        <v>87</v>
      </c>
      <c r="C3" s="31" t="s">
        <v>1342</v>
      </c>
    </row>
    <row r="5" spans="1:9" ht="18.75" x14ac:dyDescent="0.3">
      <c r="A5" s="29" t="str">
        <f>UPPER("Impact à Saisir dans l'administration")</f>
        <v>IMPACT À SAISIR DANS L'ADMINISTRATION</v>
      </c>
      <c r="C5" s="31" t="s">
        <v>1356</v>
      </c>
    </row>
    <row r="6" spans="1:9" x14ac:dyDescent="0.25">
      <c r="A6" s="32" t="s">
        <v>1343</v>
      </c>
    </row>
    <row r="7" spans="1:9" x14ac:dyDescent="0.25">
      <c r="A7" s="33" t="s">
        <v>1344</v>
      </c>
    </row>
    <row r="8" spans="1:9" x14ac:dyDescent="0.25">
      <c r="A8" s="33" t="s">
        <v>1345</v>
      </c>
      <c r="B8" s="34">
        <f>[3]Actions!$B$25</f>
        <v>1.6738696421304438</v>
      </c>
      <c r="C8" s="35" t="s">
        <v>1339</v>
      </c>
    </row>
    <row r="9" spans="1:9" x14ac:dyDescent="0.25">
      <c r="A9" s="33" t="s">
        <v>1346</v>
      </c>
      <c r="B9" s="38">
        <f>'[3]Déblocage animaux'!$L$7</f>
        <v>4.3400796080714032</v>
      </c>
      <c r="C9" s="35" t="s">
        <v>1339</v>
      </c>
      <c r="D9" s="38">
        <v>146.30009074344801</v>
      </c>
    </row>
    <row r="10" spans="1:9" x14ac:dyDescent="0.25">
      <c r="A10" s="33" t="s">
        <v>1347</v>
      </c>
      <c r="B10" s="50">
        <f>[3]Actions!$B$26</f>
        <v>18074.005913600027</v>
      </c>
      <c r="C10" s="35" t="s">
        <v>1348</v>
      </c>
    </row>
    <row r="11" spans="1:9" x14ac:dyDescent="0.25">
      <c r="A11" s="33" t="s">
        <v>1349</v>
      </c>
      <c r="B11" s="51">
        <f>[3]Actions!$B$12</f>
        <v>171007.19999999998</v>
      </c>
      <c r="C11" s="35" t="s">
        <v>1348</v>
      </c>
    </row>
    <row r="12" spans="1:9" x14ac:dyDescent="0.25">
      <c r="A12" s="33" t="s">
        <v>1350</v>
      </c>
      <c r="B12" s="50">
        <f>[3]Actions!$B$27</f>
        <v>3530.5323076924251</v>
      </c>
      <c r="C12" s="35" t="s">
        <v>1351</v>
      </c>
    </row>
    <row r="13" spans="1:9" x14ac:dyDescent="0.25">
      <c r="A13" s="33" t="s">
        <v>1352</v>
      </c>
      <c r="B13" s="51">
        <f>[3]Actions!$B$13</f>
        <v>17327.79</v>
      </c>
      <c r="C13" s="35" t="s">
        <v>1351</v>
      </c>
    </row>
    <row r="14" spans="1:9" x14ac:dyDescent="0.25">
      <c r="A14" s="33" t="s">
        <v>1353</v>
      </c>
      <c r="B14" s="36">
        <f>[3]Actions!$B$31</f>
        <v>1.7540915509506425</v>
      </c>
      <c r="C14" s="35"/>
    </row>
    <row r="15" spans="1:9" x14ac:dyDescent="0.25">
      <c r="A15" s="33" t="s">
        <v>1354</v>
      </c>
      <c r="B15" s="37">
        <f>B16+B18</f>
        <v>45505</v>
      </c>
      <c r="C15" s="45">
        <f>[3]Actions!$B$30</f>
        <v>45870.084919970221</v>
      </c>
    </row>
    <row r="16" spans="1:9" x14ac:dyDescent="0.25">
      <c r="A16" s="33" t="s">
        <v>1355</v>
      </c>
      <c r="B16" s="37">
        <f>'°C | espace | équipe | groupe'!L1</f>
        <v>45505</v>
      </c>
      <c r="C16" s="35"/>
      <c r="E16" s="61"/>
      <c r="F16" s="61"/>
    </row>
    <row r="18" spans="1:4" x14ac:dyDescent="0.25">
      <c r="A18" s="33" t="s">
        <v>1369</v>
      </c>
      <c r="B18" s="52">
        <f>FLOOR(C15-B16,1)-'[3]Synthèse Impact &amp; EOD'!$R$3</f>
        <v>0</v>
      </c>
      <c r="D18" s="55"/>
    </row>
  </sheetData>
  <hyperlinks>
    <hyperlink ref="I1" r:id="rId1" display="(Mansart) - Calcul impact v4.2.xlsm" xr:uid="{4DEF1554-14DA-4C73-9AF3-1E7DB486F56E}"/>
  </hyperlinks>
  <pageMargins left="0.7" right="0.7" top="0.75" bottom="0.75" header="0.3" footer="0.3"/>
  <pageSetup paperSize="9"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B874B-420D-49AE-ADC6-11C8D3EEAE53}">
  <sheetPr codeName="Feuil7"/>
  <dimension ref="A1:I18"/>
  <sheetViews>
    <sheetView zoomScale="115" zoomScaleNormal="115" workbookViewId="0">
      <selection activeCell="I1" sqref="I1"/>
    </sheetView>
  </sheetViews>
  <sheetFormatPr baseColWidth="10" defaultColWidth="8.7109375" defaultRowHeight="15" x14ac:dyDescent="0.25"/>
  <cols>
    <col min="1" max="1" width="47.7109375" bestFit="1" customWidth="1"/>
    <col min="2" max="2" width="10" style="30" bestFit="1" customWidth="1"/>
    <col min="3" max="3" width="14.28515625" style="31" customWidth="1"/>
    <col min="9" max="9" width="12" bestFit="1" customWidth="1"/>
  </cols>
  <sheetData>
    <row r="1" spans="1:9" ht="21" x14ac:dyDescent="0.35">
      <c r="A1" s="29" t="str">
        <f>UPPER("Déblocage Animaux")</f>
        <v>DÉBLOCAGE ANIMAUX</v>
      </c>
      <c r="B1" s="30">
        <f>'[4]Déblocage animaux'!$J$3</f>
        <v>8</v>
      </c>
      <c r="C1" s="31" t="s">
        <v>1342</v>
      </c>
      <c r="D1" s="42" t="str">
        <f>VLOOKUP(B1,'°C | espace | équipe | groupe'!A28:B36,2)</f>
        <v>Requin</v>
      </c>
      <c r="I1" s="63" t="str" cm="1">
        <f t="array" aca="1" ref="I1" ca="1">UPPER(RIGHT(CELL("filename",A1),LEN(CELL("filename",A1))-SEARCH("]",CELL("filename",A1))))</f>
        <v>NEYRON</v>
      </c>
    </row>
    <row r="2" spans="1:9" x14ac:dyDescent="0.25">
      <c r="A2" s="33" t="s">
        <v>1387</v>
      </c>
      <c r="B2" s="62">
        <f ca="1">[4]Actions!$B$22</f>
        <v>1.6641605640241013</v>
      </c>
      <c r="D2" s="18" t="str">
        <f>VLOOKUP(B1+1,'°C | espace | équipe | groupe'!A28:B36,2)</f>
        <v>Baleine</v>
      </c>
    </row>
    <row r="3" spans="1:9" ht="18.75" x14ac:dyDescent="0.3">
      <c r="A3" s="29" t="str">
        <f>UPPER("Nombre de joueurs")</f>
        <v>NOMBRE DE JOUEURS</v>
      </c>
      <c r="B3" s="30" cm="1">
        <f t="array" ref="B3">[4]!Nb_Joueur</f>
        <v>53</v>
      </c>
      <c r="C3" s="31" t="s">
        <v>1342</v>
      </c>
    </row>
    <row r="5" spans="1:9" ht="18.75" x14ac:dyDescent="0.3">
      <c r="A5" s="29" t="str">
        <f>UPPER("Impact à Saisir dans l'administration")</f>
        <v>IMPACT À SAISIR DANS L'ADMINISTRATION</v>
      </c>
      <c r="C5" s="31" t="s">
        <v>1356</v>
      </c>
    </row>
    <row r="6" spans="1:9" x14ac:dyDescent="0.25">
      <c r="A6" s="32" t="s">
        <v>1343</v>
      </c>
    </row>
    <row r="7" spans="1:9" x14ac:dyDescent="0.25">
      <c r="A7" s="33" t="s">
        <v>1344</v>
      </c>
    </row>
    <row r="8" spans="1:9" x14ac:dyDescent="0.25">
      <c r="A8" s="33" t="s">
        <v>1345</v>
      </c>
      <c r="B8" s="34">
        <f>[4]Actions!$B$25</f>
        <v>35.89</v>
      </c>
      <c r="C8" s="35" t="s">
        <v>1339</v>
      </c>
    </row>
    <row r="9" spans="1:9" x14ac:dyDescent="0.25">
      <c r="A9" s="33" t="s">
        <v>1346</v>
      </c>
      <c r="B9" s="38"/>
      <c r="C9" s="35" t="s">
        <v>1339</v>
      </c>
      <c r="D9" s="38">
        <v>146.30009074344801</v>
      </c>
    </row>
    <row r="10" spans="1:9" x14ac:dyDescent="0.25">
      <c r="A10" s="33" t="s">
        <v>1347</v>
      </c>
      <c r="B10" s="50">
        <f>[4]Actions!$B$26</f>
        <v>389713.1</v>
      </c>
      <c r="C10" s="35" t="s">
        <v>1348</v>
      </c>
    </row>
    <row r="11" spans="1:9" x14ac:dyDescent="0.25">
      <c r="A11" s="33" t="s">
        <v>1349</v>
      </c>
      <c r="B11" s="51"/>
      <c r="C11" s="35" t="s">
        <v>1348</v>
      </c>
    </row>
    <row r="12" spans="1:9" x14ac:dyDescent="0.25">
      <c r="A12" s="33" t="s">
        <v>1350</v>
      </c>
      <c r="B12" s="50">
        <f>[4]Actions!$B$27</f>
        <v>37360.71</v>
      </c>
      <c r="C12" s="35" t="s">
        <v>1351</v>
      </c>
    </row>
    <row r="13" spans="1:9" x14ac:dyDescent="0.25">
      <c r="A13" s="33" t="s">
        <v>1352</v>
      </c>
      <c r="B13" s="51"/>
      <c r="C13" s="35" t="s">
        <v>1351</v>
      </c>
    </row>
    <row r="14" spans="1:9" x14ac:dyDescent="0.25">
      <c r="A14" s="33" t="s">
        <v>1353</v>
      </c>
      <c r="B14" s="36">
        <f>[4]Actions!$B$31</f>
        <v>1.65</v>
      </c>
      <c r="C14" s="35"/>
    </row>
    <row r="15" spans="1:9" x14ac:dyDescent="0.25">
      <c r="A15" s="33" t="s">
        <v>1354</v>
      </c>
      <c r="B15" s="37">
        <f>B16+B18</f>
        <v>45517</v>
      </c>
      <c r="C15" s="45">
        <f>[4]Actions!$B$30</f>
        <v>45882.069186382752</v>
      </c>
    </row>
    <row r="16" spans="1:9" x14ac:dyDescent="0.25">
      <c r="A16" s="33" t="s">
        <v>1355</v>
      </c>
      <c r="B16" s="37">
        <f>'°C | espace | équipe | groupe'!L1</f>
        <v>45505</v>
      </c>
      <c r="C16" s="35"/>
      <c r="E16" s="61"/>
      <c r="F16" s="61"/>
    </row>
    <row r="18" spans="1:4" x14ac:dyDescent="0.25">
      <c r="A18" s="33" t="s">
        <v>1369</v>
      </c>
      <c r="B18" s="52">
        <f>FLOOR(C15-B16,1)-'[4]Synthèse Impact &amp; EOD'!$R$3</f>
        <v>12</v>
      </c>
      <c r="D18" s="55"/>
    </row>
  </sheetData>
  <hyperlinks>
    <hyperlink ref="I1" r:id="rId1" display="(Neyron) - Calcul impact v4.2.xlsm" xr:uid="{8D99855D-15CF-4071-B627-3B89E320FD80}"/>
  </hyperlink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AF1D6-A189-4A7A-9D8E-2BAA6346A847}">
  <sheetPr codeName="Feuil5"/>
  <dimension ref="A1:I18"/>
  <sheetViews>
    <sheetView zoomScale="115" zoomScaleNormal="115" workbookViewId="0">
      <selection activeCell="E1" sqref="E1"/>
    </sheetView>
  </sheetViews>
  <sheetFormatPr baseColWidth="10" defaultColWidth="8.7109375" defaultRowHeight="15" x14ac:dyDescent="0.25"/>
  <cols>
    <col min="1" max="1" width="47.7109375" bestFit="1" customWidth="1"/>
    <col min="2" max="2" width="10" style="30" bestFit="1" customWidth="1"/>
    <col min="3" max="3" width="14.28515625" style="31" customWidth="1"/>
    <col min="9" max="9" width="18.85546875" bestFit="1" customWidth="1"/>
  </cols>
  <sheetData>
    <row r="1" spans="1:9" ht="21" x14ac:dyDescent="0.35">
      <c r="A1" s="29" t="str">
        <f>UPPER("Déblocage Animaux")</f>
        <v>DÉBLOCAGE ANIMAUX</v>
      </c>
      <c r="B1" s="30">
        <f>'[5]Déblocage animaux'!$J$3</f>
        <v>6</v>
      </c>
      <c r="C1" s="31" t="s">
        <v>1342</v>
      </c>
      <c r="D1" s="42" t="str">
        <f>VLOOKUP(B1,'°C | espace | équipe | groupe'!A28:B36,2)</f>
        <v>Poisson</v>
      </c>
      <c r="E1" s="75" t="s">
        <v>1400</v>
      </c>
      <c r="I1" s="63" t="str" cm="1">
        <f t="array" aca="1" ref="I1" ca="1">UPPER(RIGHT(CELL("filename",A1),LEN(CELL("filename",A1))-SEARCH("]",CELL("filename",A1))))</f>
        <v>SOSANIMAUX</v>
      </c>
    </row>
    <row r="2" spans="1:9" x14ac:dyDescent="0.25">
      <c r="A2" s="33" t="s">
        <v>1387</v>
      </c>
      <c r="B2" s="62">
        <f>[5]Actions!$B$22</f>
        <v>2.9305974170763247</v>
      </c>
      <c r="D2" s="18" t="str">
        <f>VLOOKUP(B1+1,'°C | espace | équipe | groupe'!A28:B36,2)</f>
        <v>Thon</v>
      </c>
    </row>
    <row r="3" spans="1:9" ht="18.75" x14ac:dyDescent="0.3">
      <c r="A3" s="29" t="str">
        <f>UPPER("Nombre de joueurs")</f>
        <v>NOMBRE DE JOUEURS</v>
      </c>
      <c r="B3" s="30" cm="1">
        <f t="array" ref="B3">[5]!Nb_Joueur</f>
        <v>91</v>
      </c>
      <c r="C3" s="31" t="s">
        <v>1342</v>
      </c>
    </row>
    <row r="5" spans="1:9" ht="18.75" x14ac:dyDescent="0.3">
      <c r="A5" s="29" t="str">
        <f>UPPER("Impact à Saisir dans l'administration")</f>
        <v>IMPACT À SAISIR DANS L'ADMINISTRATION</v>
      </c>
      <c r="C5" s="31" t="s">
        <v>1356</v>
      </c>
    </row>
    <row r="6" spans="1:9" x14ac:dyDescent="0.25">
      <c r="A6" s="32" t="s">
        <v>1343</v>
      </c>
    </row>
    <row r="7" spans="1:9" x14ac:dyDescent="0.25">
      <c r="A7" s="33" t="s">
        <v>1344</v>
      </c>
    </row>
    <row r="8" spans="1:9" x14ac:dyDescent="0.25">
      <c r="A8" s="33" t="s">
        <v>1345</v>
      </c>
      <c r="B8" s="34">
        <f>[5]Actions!$B$25</f>
        <v>4.303410740012823</v>
      </c>
      <c r="C8" s="35" t="s">
        <v>1339</v>
      </c>
    </row>
    <row r="9" spans="1:9" x14ac:dyDescent="0.25">
      <c r="A9" s="33" t="s">
        <v>1346</v>
      </c>
      <c r="B9" s="38"/>
      <c r="C9" s="35" t="s">
        <v>1339</v>
      </c>
      <c r="D9" s="38">
        <v>146.30009074344801</v>
      </c>
    </row>
    <row r="10" spans="1:9" x14ac:dyDescent="0.25">
      <c r="A10" s="33" t="s">
        <v>1347</v>
      </c>
      <c r="B10" s="50">
        <f>[5]Actions!$B$26</f>
        <v>153481.10250800152</v>
      </c>
      <c r="C10" s="35" t="s">
        <v>1348</v>
      </c>
    </row>
    <row r="11" spans="1:9" x14ac:dyDescent="0.25">
      <c r="A11" s="33" t="s">
        <v>1349</v>
      </c>
      <c r="B11" s="51"/>
      <c r="C11" s="35" t="s">
        <v>1348</v>
      </c>
    </row>
    <row r="12" spans="1:9" x14ac:dyDescent="0.25">
      <c r="A12" s="33" t="s">
        <v>1350</v>
      </c>
      <c r="B12" s="50">
        <f>[5]Actions!$B$27</f>
        <v>7120.8588128094852</v>
      </c>
      <c r="C12" s="35" t="s">
        <v>1351</v>
      </c>
    </row>
    <row r="13" spans="1:9" x14ac:dyDescent="0.25">
      <c r="A13" s="33" t="s">
        <v>1352</v>
      </c>
      <c r="B13" s="51"/>
      <c r="C13" s="35" t="s">
        <v>1351</v>
      </c>
    </row>
    <row r="14" spans="1:9" x14ac:dyDescent="0.25">
      <c r="A14" s="33" t="s">
        <v>1353</v>
      </c>
      <c r="B14" s="36">
        <f>[5]Actions!$B$31</f>
        <v>1.7471439153745276</v>
      </c>
      <c r="C14" s="35"/>
    </row>
    <row r="15" spans="1:9" x14ac:dyDescent="0.25">
      <c r="A15" s="33" t="s">
        <v>1354</v>
      </c>
      <c r="B15" s="37">
        <f>B16+B18</f>
        <v>45505</v>
      </c>
      <c r="C15" s="45">
        <f>[5]Actions!$B$30</f>
        <v>45870.912383684066</v>
      </c>
    </row>
    <row r="16" spans="1:9" x14ac:dyDescent="0.25">
      <c r="A16" s="33" t="s">
        <v>1355</v>
      </c>
      <c r="B16" s="37">
        <f>'°C | espace | équipe | groupe'!L1</f>
        <v>45505</v>
      </c>
      <c r="C16" s="35"/>
      <c r="E16" s="61"/>
      <c r="F16" s="61"/>
    </row>
    <row r="18" spans="1:4" x14ac:dyDescent="0.25">
      <c r="A18" s="33" t="s">
        <v>1369</v>
      </c>
      <c r="B18" s="52">
        <f>FLOOR(C15-B16,1)-'[5]Synthèse Impact &amp; EOD'!$R$3</f>
        <v>0</v>
      </c>
      <c r="D18" s="55"/>
    </row>
  </sheetData>
  <hyperlinks>
    <hyperlink ref="I1" r:id="rId1" display="(SOSAnimaux) - Calcul impact v4.2.xlsm" xr:uid="{AECD88E9-7476-46F7-B4A2-2B70A91E9E82}"/>
  </hyperlinks>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13567-13E4-483C-A41A-C26664C58925}">
  <sheetPr codeName="Feuil6"/>
  <dimension ref="A1:I18"/>
  <sheetViews>
    <sheetView zoomScale="115" zoomScaleNormal="115" workbookViewId="0">
      <selection activeCell="E1" sqref="E1"/>
    </sheetView>
  </sheetViews>
  <sheetFormatPr baseColWidth="10" defaultColWidth="8.7109375" defaultRowHeight="15" x14ac:dyDescent="0.25"/>
  <cols>
    <col min="1" max="1" width="47.7109375" bestFit="1" customWidth="1"/>
    <col min="2" max="2" width="10" style="30" bestFit="1" customWidth="1"/>
    <col min="3" max="3" width="14.28515625" style="31" customWidth="1"/>
    <col min="5" max="5" width="12.5703125" bestFit="1" customWidth="1"/>
    <col min="9" max="9" width="19.7109375" bestFit="1" customWidth="1"/>
  </cols>
  <sheetData>
    <row r="1" spans="1:9" ht="21" x14ac:dyDescent="0.35">
      <c r="A1" s="29" t="str">
        <f>UPPER("Déblocage Animaux")</f>
        <v>DÉBLOCAGE ANIMAUX</v>
      </c>
      <c r="B1" s="30">
        <f>'[6]Déblocage animaux'!$J$3</f>
        <v>4</v>
      </c>
      <c r="C1" s="31" t="s">
        <v>1342</v>
      </c>
      <c r="D1" s="42" t="str">
        <f>VLOOKUP(B1,'°C | espace | équipe | groupe'!A28:B36,2)</f>
        <v>Ours</v>
      </c>
      <c r="E1" s="75" t="s">
        <v>1400</v>
      </c>
      <c r="I1" s="63" t="str" cm="1">
        <f t="array" aca="1" ref="I1" ca="1">UPPER(RIGHT(CELL("filename",A1),LEN(CELL("filename",A1))-SEARCH("]",CELL("filename",A1))))</f>
        <v>SOSVEGETAUX</v>
      </c>
    </row>
    <row r="2" spans="1:9" x14ac:dyDescent="0.25">
      <c r="A2" s="33" t="s">
        <v>1387</v>
      </c>
      <c r="B2" s="62">
        <f>[6]Actions!$B$22</f>
        <v>1.4895005001667132</v>
      </c>
      <c r="D2" s="18" t="str">
        <f>VLOOKUP(B1+1,'°C | espace | équipe | groupe'!A28:B36,2)</f>
        <v>Éléphant</v>
      </c>
    </row>
    <row r="3" spans="1:9" ht="18.75" x14ac:dyDescent="0.3">
      <c r="A3" s="29" t="str">
        <f>UPPER("Nombre de joueurs")</f>
        <v>NOMBRE DE JOUEURS</v>
      </c>
      <c r="B3" s="30" cm="1">
        <f t="array" ref="B3">[6]!Nb_Joueur</f>
        <v>81</v>
      </c>
      <c r="C3" s="31" t="s">
        <v>1342</v>
      </c>
    </row>
    <row r="5" spans="1:9" ht="18.75" x14ac:dyDescent="0.3">
      <c r="A5" s="29" t="str">
        <f>UPPER("Impact à Saisir dans l'administration")</f>
        <v>IMPACT À SAISIR DANS L'ADMINISTRATION</v>
      </c>
      <c r="C5" s="31" t="s">
        <v>1356</v>
      </c>
    </row>
    <row r="6" spans="1:9" x14ac:dyDescent="0.25">
      <c r="A6" s="32" t="s">
        <v>1343</v>
      </c>
    </row>
    <row r="7" spans="1:9" x14ac:dyDescent="0.25">
      <c r="A7" s="33" t="s">
        <v>1344</v>
      </c>
    </row>
    <row r="8" spans="1:9" x14ac:dyDescent="0.25">
      <c r="A8" s="33" t="s">
        <v>1345</v>
      </c>
      <c r="B8" s="34">
        <f>[6]Actions!$B$25</f>
        <v>1.2408033842427115</v>
      </c>
      <c r="C8" s="35" t="s">
        <v>1339</v>
      </c>
    </row>
    <row r="9" spans="1:9" x14ac:dyDescent="0.25">
      <c r="A9" s="33" t="s">
        <v>1346</v>
      </c>
      <c r="B9" s="38"/>
      <c r="C9" s="35" t="s">
        <v>1339</v>
      </c>
      <c r="D9" s="38">
        <v>146.30009074344801</v>
      </c>
    </row>
    <row r="10" spans="1:9" x14ac:dyDescent="0.25">
      <c r="A10" s="33" t="s">
        <v>1347</v>
      </c>
      <c r="B10" s="50">
        <f>[6]Actions!$B$26</f>
        <v>39638.400725999862</v>
      </c>
      <c r="C10" s="35" t="s">
        <v>1348</v>
      </c>
    </row>
    <row r="11" spans="1:9" x14ac:dyDescent="0.25">
      <c r="A11" s="33" t="s">
        <v>1349</v>
      </c>
      <c r="B11" s="51"/>
      <c r="C11" s="35" t="s">
        <v>1348</v>
      </c>
    </row>
    <row r="12" spans="1:9" x14ac:dyDescent="0.25">
      <c r="A12" s="33" t="s">
        <v>1350</v>
      </c>
      <c r="B12" s="50">
        <f>[6]Actions!$B$27</f>
        <v>2083.8596797638429</v>
      </c>
      <c r="C12" s="35" t="s">
        <v>1351</v>
      </c>
    </row>
    <row r="13" spans="1:9" x14ac:dyDescent="0.25">
      <c r="A13" s="33" t="s">
        <v>1352</v>
      </c>
      <c r="B13" s="51"/>
      <c r="C13" s="35" t="s">
        <v>1351</v>
      </c>
    </row>
    <row r="14" spans="1:9" x14ac:dyDescent="0.25">
      <c r="A14" s="33" t="s">
        <v>1353</v>
      </c>
      <c r="B14" s="36">
        <f>[6]Actions!$B$31</f>
        <v>1.7518456311999593</v>
      </c>
      <c r="C14" s="35"/>
    </row>
    <row r="15" spans="1:9" x14ac:dyDescent="0.25">
      <c r="A15" s="33" t="s">
        <v>1354</v>
      </c>
      <c r="B15" s="37">
        <f>[6]Actions!$B$30</f>
        <v>45870.351691210366</v>
      </c>
      <c r="C15" s="45">
        <f>[6]Actions!$B$30</f>
        <v>45870.351691210366</v>
      </c>
    </row>
    <row r="16" spans="1:9" x14ac:dyDescent="0.25">
      <c r="A16" s="33" t="s">
        <v>1355</v>
      </c>
      <c r="B16" s="37">
        <f>'°C | espace | équipe | groupe'!L1</f>
        <v>45505</v>
      </c>
      <c r="C16" s="35"/>
      <c r="E16" s="61"/>
      <c r="F16" s="61"/>
    </row>
    <row r="18" spans="1:4" x14ac:dyDescent="0.25">
      <c r="A18" s="33" t="s">
        <v>1369</v>
      </c>
      <c r="B18" s="52">
        <f>FLOOR(C15-B16,1)-'[6]Synthèse Impact &amp; EOD'!$R$3</f>
        <v>0</v>
      </c>
      <c r="D18" s="55"/>
    </row>
  </sheetData>
  <hyperlinks>
    <hyperlink ref="I1" r:id="rId1" display="(SOSVegetaux) - Calcul impact v4.2.xlsm" xr:uid="{54450DEF-B514-4C91-9359-3EE0D9D41E8B}"/>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0BF7A-AF5B-42E7-958C-A8CEA1925555}">
  <sheetPr codeName="Feuil10"/>
  <dimension ref="C7"/>
  <sheetViews>
    <sheetView workbookViewId="0">
      <selection activeCell="G24" sqref="G24"/>
    </sheetView>
  </sheetViews>
  <sheetFormatPr baseColWidth="10" defaultRowHeight="15" x14ac:dyDescent="0.25"/>
  <cols>
    <col min="3" max="3" width="64.28515625" customWidth="1"/>
  </cols>
  <sheetData>
    <row r="7" spans="3:3" ht="225" x14ac:dyDescent="0.25">
      <c r="C7" s="40" t="s">
        <v>1370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A7325-FCE4-4F8B-81AD-9D49CDCB870B}">
  <sheetPr codeName="Feuil11"/>
  <dimension ref="C1:E148"/>
  <sheetViews>
    <sheetView topLeftCell="A115" zoomScale="115" zoomScaleNormal="115" workbookViewId="0">
      <selection activeCell="O137" sqref="O137"/>
    </sheetView>
  </sheetViews>
  <sheetFormatPr baseColWidth="10" defaultRowHeight="15" x14ac:dyDescent="0.25"/>
  <cols>
    <col min="3" max="3" width="5.28515625" bestFit="1" customWidth="1"/>
    <col min="4" max="4" width="18.7109375" customWidth="1"/>
  </cols>
  <sheetData>
    <row r="1" spans="3:5" ht="15.75" thickBot="1" x14ac:dyDescent="0.3">
      <c r="E1" s="1" t="s">
        <v>1339</v>
      </c>
    </row>
    <row r="2" spans="3:5" ht="15.75" customHeight="1" thickBot="1" x14ac:dyDescent="0.3">
      <c r="C2" s="19" t="s">
        <v>11</v>
      </c>
      <c r="D2" s="26" t="s">
        <v>15</v>
      </c>
      <c r="E2" s="25">
        <v>2017</v>
      </c>
    </row>
    <row r="3" spans="3:5" ht="15.75" thickBot="1" x14ac:dyDescent="0.3">
      <c r="C3" s="20">
        <v>1</v>
      </c>
      <c r="D3" s="21" t="s">
        <v>1109</v>
      </c>
      <c r="E3" s="20" t="s">
        <v>1110</v>
      </c>
    </row>
    <row r="4" spans="3:5" ht="15.75" thickBot="1" x14ac:dyDescent="0.3">
      <c r="C4" s="20">
        <v>2</v>
      </c>
      <c r="D4" s="21" t="s">
        <v>1111</v>
      </c>
      <c r="E4" s="20" t="s">
        <v>1112</v>
      </c>
    </row>
    <row r="5" spans="3:5" ht="15.75" thickBot="1" x14ac:dyDescent="0.3">
      <c r="C5" s="20">
        <v>3</v>
      </c>
      <c r="D5" s="21" t="s">
        <v>1113</v>
      </c>
      <c r="E5" s="20" t="s">
        <v>1114</v>
      </c>
    </row>
    <row r="6" spans="3:5" ht="15.75" thickBot="1" x14ac:dyDescent="0.3">
      <c r="C6" s="20">
        <v>4</v>
      </c>
      <c r="D6" s="21" t="s">
        <v>1115</v>
      </c>
      <c r="E6" s="20" t="s">
        <v>1116</v>
      </c>
    </row>
    <row r="7" spans="3:5" ht="15.75" thickBot="1" x14ac:dyDescent="0.3">
      <c r="C7" s="20">
        <v>5</v>
      </c>
      <c r="D7" s="21" t="s">
        <v>1117</v>
      </c>
      <c r="E7" s="20" t="s">
        <v>1118</v>
      </c>
    </row>
    <row r="8" spans="3:5" ht="15.75" thickBot="1" x14ac:dyDescent="0.3">
      <c r="C8" s="20">
        <v>6</v>
      </c>
      <c r="D8" s="21" t="s">
        <v>1119</v>
      </c>
      <c r="E8" s="20" t="s">
        <v>1121</v>
      </c>
    </row>
    <row r="9" spans="3:5" ht="15.75" thickBot="1" x14ac:dyDescent="0.3">
      <c r="C9" s="20">
        <v>7</v>
      </c>
      <c r="D9" s="21" t="s">
        <v>1122</v>
      </c>
      <c r="E9" s="20" t="s">
        <v>1123</v>
      </c>
    </row>
    <row r="10" spans="3:5" ht="15.75" thickBot="1" x14ac:dyDescent="0.3">
      <c r="C10" s="20">
        <v>8</v>
      </c>
      <c r="D10" s="21" t="s">
        <v>1119</v>
      </c>
      <c r="E10" s="20" t="s">
        <v>1124</v>
      </c>
    </row>
    <row r="11" spans="3:5" ht="15.75" thickBot="1" x14ac:dyDescent="0.3">
      <c r="C11" s="20">
        <v>9</v>
      </c>
      <c r="D11" s="21" t="s">
        <v>1125</v>
      </c>
      <c r="E11" s="20" t="s">
        <v>1126</v>
      </c>
    </row>
    <row r="12" spans="3:5" ht="15.75" thickBot="1" x14ac:dyDescent="0.3">
      <c r="C12" s="20">
        <v>10</v>
      </c>
      <c r="D12" s="21" t="s">
        <v>1127</v>
      </c>
      <c r="E12" s="20" t="s">
        <v>1128</v>
      </c>
    </row>
    <row r="13" spans="3:5" ht="15.75" thickBot="1" x14ac:dyDescent="0.3">
      <c r="C13" s="20">
        <v>11</v>
      </c>
      <c r="D13" s="21" t="s">
        <v>1129</v>
      </c>
      <c r="E13" s="20" t="s">
        <v>1130</v>
      </c>
    </row>
    <row r="14" spans="3:5" ht="15.75" thickBot="1" x14ac:dyDescent="0.3">
      <c r="C14" s="20">
        <v>12</v>
      </c>
      <c r="D14" s="21" t="s">
        <v>1131</v>
      </c>
      <c r="E14" s="20" t="s">
        <v>1132</v>
      </c>
    </row>
    <row r="15" spans="3:5" ht="15.75" thickBot="1" x14ac:dyDescent="0.3">
      <c r="C15" s="20">
        <v>13</v>
      </c>
      <c r="D15" s="21" t="s">
        <v>1133</v>
      </c>
      <c r="E15" s="20" t="s">
        <v>1135</v>
      </c>
    </row>
    <row r="16" spans="3:5" ht="15.75" thickBot="1" x14ac:dyDescent="0.3">
      <c r="C16" s="20">
        <v>14</v>
      </c>
      <c r="D16" s="21" t="s">
        <v>1136</v>
      </c>
      <c r="E16" s="20" t="s">
        <v>1120</v>
      </c>
    </row>
    <row r="17" spans="3:5" ht="15.75" thickBot="1" x14ac:dyDescent="0.3">
      <c r="C17" s="20">
        <v>15</v>
      </c>
      <c r="D17" s="21" t="s">
        <v>1138</v>
      </c>
      <c r="E17" s="20" t="s">
        <v>1139</v>
      </c>
    </row>
    <row r="18" spans="3:5" ht="15.75" thickBot="1" x14ac:dyDescent="0.3">
      <c r="C18" s="20">
        <v>16</v>
      </c>
      <c r="D18" s="21" t="s">
        <v>1140</v>
      </c>
      <c r="E18" s="20" t="s">
        <v>1141</v>
      </c>
    </row>
    <row r="19" spans="3:5" ht="15.75" thickBot="1" x14ac:dyDescent="0.3">
      <c r="C19" s="20">
        <v>17</v>
      </c>
      <c r="D19" s="21" t="s">
        <v>1142</v>
      </c>
      <c r="E19" s="20" t="s">
        <v>1143</v>
      </c>
    </row>
    <row r="20" spans="3:5" ht="15.75" thickBot="1" x14ac:dyDescent="0.3">
      <c r="C20" s="20">
        <v>18</v>
      </c>
      <c r="D20" s="21" t="s">
        <v>1144</v>
      </c>
      <c r="E20" s="20" t="s">
        <v>1146</v>
      </c>
    </row>
    <row r="21" spans="3:5" ht="15.75" thickBot="1" x14ac:dyDescent="0.3">
      <c r="C21" s="20">
        <v>19</v>
      </c>
      <c r="D21" s="21" t="s">
        <v>1147</v>
      </c>
      <c r="E21" s="20" t="s">
        <v>1149</v>
      </c>
    </row>
    <row r="22" spans="3:5" ht="15.75" thickBot="1" x14ac:dyDescent="0.3">
      <c r="C22" s="20">
        <v>20</v>
      </c>
      <c r="D22" s="21" t="s">
        <v>1150</v>
      </c>
      <c r="E22" s="20" t="s">
        <v>1151</v>
      </c>
    </row>
    <row r="23" spans="3:5" ht="15.75" thickBot="1" x14ac:dyDescent="0.3">
      <c r="C23" s="20">
        <v>21</v>
      </c>
      <c r="D23" s="21" t="s">
        <v>1152</v>
      </c>
      <c r="E23" s="20" t="s">
        <v>1153</v>
      </c>
    </row>
    <row r="24" spans="3:5" ht="15.75" thickBot="1" x14ac:dyDescent="0.3">
      <c r="C24" s="20">
        <v>22</v>
      </c>
      <c r="D24" s="21" t="s">
        <v>1154</v>
      </c>
      <c r="E24" s="20" t="s">
        <v>539</v>
      </c>
    </row>
    <row r="25" spans="3:5" ht="15.75" thickBot="1" x14ac:dyDescent="0.3">
      <c r="C25" s="20">
        <v>23</v>
      </c>
      <c r="D25" s="21" t="s">
        <v>1155</v>
      </c>
      <c r="E25" s="20" t="s">
        <v>1156</v>
      </c>
    </row>
    <row r="26" spans="3:5" ht="15.75" thickBot="1" x14ac:dyDescent="0.3">
      <c r="C26" s="20">
        <v>24</v>
      </c>
      <c r="D26" s="21" t="s">
        <v>1157</v>
      </c>
      <c r="E26" s="20" t="s">
        <v>1158</v>
      </c>
    </row>
    <row r="27" spans="3:5" ht="15.75" thickBot="1" x14ac:dyDescent="0.3">
      <c r="C27" s="20">
        <v>25</v>
      </c>
      <c r="D27" s="21" t="s">
        <v>1159</v>
      </c>
      <c r="E27" s="20" t="s">
        <v>1160</v>
      </c>
    </row>
    <row r="28" spans="3:5" ht="15.75" thickBot="1" x14ac:dyDescent="0.3">
      <c r="C28" s="20">
        <v>26</v>
      </c>
      <c r="D28" s="21" t="s">
        <v>1161</v>
      </c>
      <c r="E28" s="20" t="s">
        <v>1162</v>
      </c>
    </row>
    <row r="29" spans="3:5" ht="15.75" thickBot="1" x14ac:dyDescent="0.3">
      <c r="C29" s="20">
        <v>27</v>
      </c>
      <c r="D29" s="21" t="s">
        <v>1163</v>
      </c>
      <c r="E29" s="20" t="s">
        <v>1162</v>
      </c>
    </row>
    <row r="30" spans="3:5" ht="15.75" thickBot="1" x14ac:dyDescent="0.3">
      <c r="C30" s="20">
        <v>28</v>
      </c>
      <c r="D30" s="21" t="s">
        <v>1164</v>
      </c>
      <c r="E30" s="20" t="s">
        <v>1165</v>
      </c>
    </row>
    <row r="31" spans="3:5" ht="15.75" thickBot="1" x14ac:dyDescent="0.3">
      <c r="C31" s="20">
        <v>29</v>
      </c>
      <c r="D31" s="21" t="s">
        <v>1166</v>
      </c>
      <c r="E31" s="20" t="s">
        <v>1167</v>
      </c>
    </row>
    <row r="32" spans="3:5" ht="15.75" thickBot="1" x14ac:dyDescent="0.3">
      <c r="C32" s="20">
        <v>30</v>
      </c>
      <c r="D32" s="21" t="s">
        <v>1168</v>
      </c>
      <c r="E32" s="20" t="s">
        <v>113</v>
      </c>
    </row>
    <row r="33" spans="3:5" ht="15.75" thickBot="1" x14ac:dyDescent="0.3">
      <c r="C33" s="20">
        <v>31</v>
      </c>
      <c r="D33" s="21" t="s">
        <v>1169</v>
      </c>
      <c r="E33" s="20" t="s">
        <v>1171</v>
      </c>
    </row>
    <row r="34" spans="3:5" ht="15.75" thickBot="1" x14ac:dyDescent="0.3">
      <c r="C34" s="20">
        <v>32</v>
      </c>
      <c r="D34" s="21" t="s">
        <v>1172</v>
      </c>
      <c r="E34" s="20" t="s">
        <v>1173</v>
      </c>
    </row>
    <row r="35" spans="3:5" ht="15.75" thickBot="1" x14ac:dyDescent="0.3">
      <c r="C35" s="20">
        <v>33</v>
      </c>
      <c r="D35" s="21" t="s">
        <v>1174</v>
      </c>
      <c r="E35" s="20" t="s">
        <v>1175</v>
      </c>
    </row>
    <row r="36" spans="3:5" ht="15.75" thickBot="1" x14ac:dyDescent="0.3">
      <c r="C36" s="20">
        <v>34</v>
      </c>
      <c r="D36" s="21" t="s">
        <v>1176</v>
      </c>
      <c r="E36" s="20" t="s">
        <v>1177</v>
      </c>
    </row>
    <row r="37" spans="3:5" ht="15.75" thickBot="1" x14ac:dyDescent="0.3">
      <c r="C37" s="20">
        <v>35</v>
      </c>
      <c r="D37" s="21" t="s">
        <v>1178</v>
      </c>
      <c r="E37" s="20" t="s">
        <v>1181</v>
      </c>
    </row>
    <row r="38" spans="3:5" ht="15.75" thickBot="1" x14ac:dyDescent="0.3">
      <c r="C38" s="20">
        <v>36</v>
      </c>
      <c r="D38" s="21" t="s">
        <v>1182</v>
      </c>
      <c r="E38" s="20" t="s">
        <v>1134</v>
      </c>
    </row>
    <row r="39" spans="3:5" ht="15.75" thickBot="1" x14ac:dyDescent="0.3">
      <c r="C39" s="20">
        <v>37</v>
      </c>
      <c r="D39" s="21" t="s">
        <v>1183</v>
      </c>
      <c r="E39" s="20" t="s">
        <v>1134</v>
      </c>
    </row>
    <row r="40" spans="3:5" ht="15.75" thickBot="1" x14ac:dyDescent="0.3">
      <c r="C40" s="20">
        <v>38</v>
      </c>
      <c r="D40" s="21" t="s">
        <v>1185</v>
      </c>
      <c r="E40" s="20" t="s">
        <v>1186</v>
      </c>
    </row>
    <row r="41" spans="3:5" ht="15.75" thickBot="1" x14ac:dyDescent="0.3">
      <c r="C41" s="20">
        <v>39</v>
      </c>
      <c r="D41" s="21" t="s">
        <v>1187</v>
      </c>
      <c r="E41" s="20" t="s">
        <v>1188</v>
      </c>
    </row>
    <row r="42" spans="3:5" ht="15.75" thickBot="1" x14ac:dyDescent="0.3">
      <c r="C42" s="20">
        <v>40</v>
      </c>
      <c r="D42" s="21" t="s">
        <v>1189</v>
      </c>
      <c r="E42" s="20" t="s">
        <v>1190</v>
      </c>
    </row>
    <row r="43" spans="3:5" ht="15.75" thickBot="1" x14ac:dyDescent="0.3">
      <c r="C43" s="20">
        <v>41</v>
      </c>
      <c r="D43" s="21" t="s">
        <v>1191</v>
      </c>
      <c r="E43" s="20" t="s">
        <v>1137</v>
      </c>
    </row>
    <row r="44" spans="3:5" ht="30.75" thickBot="1" x14ac:dyDescent="0.3">
      <c r="C44" s="20">
        <v>42</v>
      </c>
      <c r="D44" s="21" t="s">
        <v>1192</v>
      </c>
      <c r="E44" s="20" t="s">
        <v>1193</v>
      </c>
    </row>
    <row r="45" spans="3:5" ht="15.75" thickBot="1" x14ac:dyDescent="0.3">
      <c r="C45" s="20">
        <v>43</v>
      </c>
      <c r="D45" s="21" t="s">
        <v>1194</v>
      </c>
      <c r="E45" s="20" t="s">
        <v>1195</v>
      </c>
    </row>
    <row r="46" spans="3:5" ht="15.75" thickBot="1" x14ac:dyDescent="0.3">
      <c r="C46" s="20">
        <v>44</v>
      </c>
      <c r="D46" s="21" t="s">
        <v>1196</v>
      </c>
      <c r="E46" s="20" t="s">
        <v>1170</v>
      </c>
    </row>
    <row r="47" spans="3:5" ht="15.75" thickBot="1" x14ac:dyDescent="0.3">
      <c r="C47" s="20">
        <v>45</v>
      </c>
      <c r="D47" s="21" t="s">
        <v>1199</v>
      </c>
      <c r="E47" s="20" t="s">
        <v>1200</v>
      </c>
    </row>
    <row r="48" spans="3:5" ht="15.75" thickBot="1" x14ac:dyDescent="0.3">
      <c r="C48" s="20">
        <v>46</v>
      </c>
      <c r="D48" s="21" t="s">
        <v>1201</v>
      </c>
      <c r="E48" s="20" t="s">
        <v>1202</v>
      </c>
    </row>
    <row r="49" spans="3:5" ht="15.75" thickBot="1" x14ac:dyDescent="0.3">
      <c r="C49" s="20">
        <v>47</v>
      </c>
      <c r="D49" s="21" t="s">
        <v>1203</v>
      </c>
      <c r="E49" s="20" t="s">
        <v>1205</v>
      </c>
    </row>
    <row r="50" spans="3:5" ht="15.75" thickBot="1" x14ac:dyDescent="0.3">
      <c r="C50" s="20">
        <v>48</v>
      </c>
      <c r="D50" s="21" t="s">
        <v>1206</v>
      </c>
      <c r="E50" s="20" t="s">
        <v>1197</v>
      </c>
    </row>
    <row r="51" spans="3:5" ht="15.75" thickBot="1" x14ac:dyDescent="0.3">
      <c r="C51" s="20">
        <v>49</v>
      </c>
      <c r="D51" s="21" t="s">
        <v>1207</v>
      </c>
      <c r="E51" s="20" t="s">
        <v>208</v>
      </c>
    </row>
    <row r="52" spans="3:5" ht="15.75" thickBot="1" x14ac:dyDescent="0.3">
      <c r="C52" s="20">
        <v>50</v>
      </c>
      <c r="D52" s="21" t="s">
        <v>1208</v>
      </c>
      <c r="E52" s="20" t="s">
        <v>407</v>
      </c>
    </row>
    <row r="53" spans="3:5" ht="15.75" thickBot="1" x14ac:dyDescent="0.3">
      <c r="C53" s="20">
        <v>51</v>
      </c>
      <c r="D53" s="21" t="s">
        <v>1210</v>
      </c>
      <c r="E53" s="20" t="s">
        <v>1204</v>
      </c>
    </row>
    <row r="54" spans="3:5" ht="15.75" thickBot="1" x14ac:dyDescent="0.3">
      <c r="C54" s="20">
        <v>52</v>
      </c>
      <c r="D54" s="21" t="s">
        <v>1211</v>
      </c>
      <c r="E54" s="20" t="s">
        <v>1212</v>
      </c>
    </row>
    <row r="55" spans="3:5" ht="15.75" thickBot="1" x14ac:dyDescent="0.3">
      <c r="C55" s="20">
        <v>53</v>
      </c>
      <c r="D55" s="21" t="s">
        <v>1213</v>
      </c>
      <c r="E55" s="20" t="s">
        <v>1214</v>
      </c>
    </row>
    <row r="56" spans="3:5" ht="15.75" thickBot="1" x14ac:dyDescent="0.3">
      <c r="C56" s="20">
        <v>54</v>
      </c>
      <c r="D56" s="21" t="s">
        <v>1215</v>
      </c>
      <c r="E56" s="20" t="s">
        <v>1216</v>
      </c>
    </row>
    <row r="57" spans="3:5" ht="15.75" thickBot="1" x14ac:dyDescent="0.3">
      <c r="C57" s="20">
        <v>55</v>
      </c>
      <c r="D57" s="21" t="s">
        <v>1217</v>
      </c>
      <c r="E57" s="20" t="s">
        <v>1184</v>
      </c>
    </row>
    <row r="58" spans="3:5" ht="15.75" thickBot="1" x14ac:dyDescent="0.3">
      <c r="C58" s="20">
        <v>56</v>
      </c>
      <c r="D58" s="21" t="s">
        <v>1218</v>
      </c>
      <c r="E58" s="20" t="s">
        <v>1219</v>
      </c>
    </row>
    <row r="59" spans="3:5" ht="15.75" thickBot="1" x14ac:dyDescent="0.3">
      <c r="C59" s="20">
        <v>57</v>
      </c>
      <c r="D59" s="21" t="s">
        <v>1220</v>
      </c>
      <c r="E59" s="20" t="s">
        <v>432</v>
      </c>
    </row>
    <row r="60" spans="3:5" ht="15.75" thickBot="1" x14ac:dyDescent="0.3">
      <c r="C60" s="20">
        <v>58</v>
      </c>
      <c r="D60" s="21" t="s">
        <v>1221</v>
      </c>
      <c r="E60" s="20" t="s">
        <v>1223</v>
      </c>
    </row>
    <row r="61" spans="3:5" ht="15.75" thickBot="1" x14ac:dyDescent="0.3">
      <c r="C61" s="20">
        <v>59</v>
      </c>
      <c r="D61" s="21" t="s">
        <v>1224</v>
      </c>
      <c r="E61" s="20" t="s">
        <v>236</v>
      </c>
    </row>
    <row r="62" spans="3:5" ht="15.75" thickBot="1" x14ac:dyDescent="0.3">
      <c r="C62" s="20">
        <v>60</v>
      </c>
      <c r="D62" s="21" t="s">
        <v>1225</v>
      </c>
      <c r="E62" s="20" t="s">
        <v>1227</v>
      </c>
    </row>
    <row r="63" spans="3:5" ht="15.75" thickBot="1" x14ac:dyDescent="0.3">
      <c r="C63" s="20">
        <v>61</v>
      </c>
      <c r="D63" s="21" t="s">
        <v>1228</v>
      </c>
      <c r="E63" s="20" t="s">
        <v>1222</v>
      </c>
    </row>
    <row r="64" spans="3:5" ht="15.75" thickBot="1" x14ac:dyDescent="0.3">
      <c r="C64" s="20">
        <v>62</v>
      </c>
      <c r="D64" s="21" t="s">
        <v>1229</v>
      </c>
      <c r="E64" s="20" t="s">
        <v>1230</v>
      </c>
    </row>
    <row r="65" spans="3:5" ht="15.75" thickBot="1" x14ac:dyDescent="0.3">
      <c r="C65" s="20">
        <v>63</v>
      </c>
      <c r="D65" s="21" t="s">
        <v>1231</v>
      </c>
      <c r="E65" s="20" t="s">
        <v>417</v>
      </c>
    </row>
    <row r="66" spans="3:5" ht="15.75" thickBot="1" x14ac:dyDescent="0.3">
      <c r="C66" s="20">
        <v>64</v>
      </c>
      <c r="D66" s="21" t="s">
        <v>1232</v>
      </c>
      <c r="E66" s="20" t="s">
        <v>436</v>
      </c>
    </row>
    <row r="67" spans="3:5" ht="15.75" thickBot="1" x14ac:dyDescent="0.3">
      <c r="C67" s="20">
        <v>65</v>
      </c>
      <c r="D67" s="21" t="s">
        <v>1233</v>
      </c>
      <c r="E67" s="20" t="s">
        <v>1145</v>
      </c>
    </row>
    <row r="68" spans="3:5" ht="15.75" thickBot="1" x14ac:dyDescent="0.3">
      <c r="C68" s="20">
        <v>66</v>
      </c>
      <c r="D68" s="21" t="s">
        <v>1234</v>
      </c>
      <c r="E68" s="20" t="s">
        <v>1198</v>
      </c>
    </row>
    <row r="69" spans="3:5" ht="15.75" thickBot="1" x14ac:dyDescent="0.3">
      <c r="C69" s="20">
        <v>67</v>
      </c>
      <c r="D69" s="21" t="s">
        <v>1235</v>
      </c>
      <c r="E69" s="20" t="s">
        <v>467</v>
      </c>
    </row>
    <row r="70" spans="3:5" ht="15.75" thickBot="1" x14ac:dyDescent="0.3">
      <c r="C70" s="20">
        <v>68</v>
      </c>
      <c r="D70" s="21" t="s">
        <v>1237</v>
      </c>
      <c r="E70" s="20" t="s">
        <v>1238</v>
      </c>
    </row>
    <row r="71" spans="3:5" ht="15.75" thickBot="1" x14ac:dyDescent="0.3">
      <c r="C71" s="20">
        <v>69</v>
      </c>
      <c r="D71" s="21" t="s">
        <v>1239</v>
      </c>
      <c r="E71" s="20" t="s">
        <v>1236</v>
      </c>
    </row>
    <row r="72" spans="3:5" ht="30.75" thickBot="1" x14ac:dyDescent="0.3">
      <c r="C72" s="20">
        <v>70</v>
      </c>
      <c r="D72" s="21" t="s">
        <v>1240</v>
      </c>
      <c r="E72" s="20" t="s">
        <v>480</v>
      </c>
    </row>
    <row r="73" spans="3:5" ht="15.75" thickBot="1" x14ac:dyDescent="0.3">
      <c r="C73" s="20">
        <v>71</v>
      </c>
      <c r="D73" s="21" t="s">
        <v>1241</v>
      </c>
      <c r="E73" s="20" t="s">
        <v>1242</v>
      </c>
    </row>
    <row r="74" spans="3:5" ht="15.75" thickBot="1" x14ac:dyDescent="0.3">
      <c r="C74" s="20">
        <v>72</v>
      </c>
      <c r="D74" s="21" t="s">
        <v>1243</v>
      </c>
      <c r="E74" s="20" t="s">
        <v>1244</v>
      </c>
    </row>
    <row r="75" spans="3:5" ht="15.75" thickBot="1" x14ac:dyDescent="0.3">
      <c r="C75" s="20">
        <v>73</v>
      </c>
      <c r="D75" s="21" t="s">
        <v>1245</v>
      </c>
      <c r="E75" s="20" t="s">
        <v>1246</v>
      </c>
    </row>
    <row r="76" spans="3:5" ht="15.75" thickBot="1" x14ac:dyDescent="0.3">
      <c r="C76" s="20">
        <v>74</v>
      </c>
      <c r="D76" s="21" t="s">
        <v>1247</v>
      </c>
      <c r="E76" s="20" t="s">
        <v>1209</v>
      </c>
    </row>
    <row r="77" spans="3:5" ht="15.75" thickBot="1" x14ac:dyDescent="0.3">
      <c r="C77" s="20">
        <v>75</v>
      </c>
      <c r="D77" s="21" t="s">
        <v>1248</v>
      </c>
      <c r="E77" s="20" t="s">
        <v>1249</v>
      </c>
    </row>
    <row r="78" spans="3:5" ht="15.75" thickBot="1" x14ac:dyDescent="0.3">
      <c r="C78" s="20">
        <v>76</v>
      </c>
      <c r="D78" s="21" t="s">
        <v>1250</v>
      </c>
      <c r="E78" s="20" t="s">
        <v>1251</v>
      </c>
    </row>
    <row r="79" spans="3:5" ht="15.75" thickBot="1" x14ac:dyDescent="0.3">
      <c r="C79" s="20">
        <v>77</v>
      </c>
      <c r="D79" s="21" t="s">
        <v>1252</v>
      </c>
      <c r="E79" s="20" t="s">
        <v>102</v>
      </c>
    </row>
    <row r="80" spans="3:5" ht="15.75" thickBot="1" x14ac:dyDescent="0.3">
      <c r="C80" s="20">
        <v>78</v>
      </c>
      <c r="D80" s="21" t="s">
        <v>1253</v>
      </c>
      <c r="E80" s="20" t="s">
        <v>142</v>
      </c>
    </row>
    <row r="81" spans="3:5" ht="15.75" thickBot="1" x14ac:dyDescent="0.3">
      <c r="C81" s="20">
        <v>79</v>
      </c>
      <c r="D81" s="21" t="s">
        <v>1255</v>
      </c>
      <c r="E81" s="20" t="s">
        <v>723</v>
      </c>
    </row>
    <row r="82" spans="3:5" ht="15.75" thickBot="1" x14ac:dyDescent="0.3">
      <c r="C82" s="20">
        <v>80</v>
      </c>
      <c r="D82" s="21" t="s">
        <v>1257</v>
      </c>
      <c r="E82" s="20" t="s">
        <v>533</v>
      </c>
    </row>
    <row r="83" spans="3:5" ht="15.75" thickBot="1" x14ac:dyDescent="0.3">
      <c r="C83" s="20">
        <v>81</v>
      </c>
      <c r="D83" s="21" t="s">
        <v>1258</v>
      </c>
      <c r="E83" s="20" t="s">
        <v>1035</v>
      </c>
    </row>
    <row r="84" spans="3:5" ht="15.75" thickBot="1" x14ac:dyDescent="0.3">
      <c r="C84" s="20">
        <v>82</v>
      </c>
      <c r="D84" s="21" t="s">
        <v>1259</v>
      </c>
      <c r="E84" s="20" t="s">
        <v>1260</v>
      </c>
    </row>
    <row r="85" spans="3:5" ht="15.75" thickBot="1" x14ac:dyDescent="0.3">
      <c r="C85" s="20">
        <v>83</v>
      </c>
      <c r="D85" s="21" t="s">
        <v>1261</v>
      </c>
      <c r="E85" s="20" t="s">
        <v>449</v>
      </c>
    </row>
    <row r="86" spans="3:5" ht="15.75" thickBot="1" x14ac:dyDescent="0.3">
      <c r="C86" s="20">
        <v>84</v>
      </c>
      <c r="D86" s="21" t="s">
        <v>1262</v>
      </c>
      <c r="E86" s="20" t="s">
        <v>189</v>
      </c>
    </row>
    <row r="87" spans="3:5" ht="15.75" thickBot="1" x14ac:dyDescent="0.3">
      <c r="C87" s="20">
        <v>85</v>
      </c>
      <c r="D87" s="21" t="s">
        <v>1264</v>
      </c>
      <c r="E87" s="20" t="s">
        <v>189</v>
      </c>
    </row>
    <row r="88" spans="3:5" ht="15.75" thickBot="1" x14ac:dyDescent="0.3">
      <c r="C88" s="20">
        <v>86</v>
      </c>
      <c r="D88" s="21" t="s">
        <v>1265</v>
      </c>
      <c r="E88" s="20" t="s">
        <v>708</v>
      </c>
    </row>
    <row r="89" spans="3:5" ht="15.75" thickBot="1" x14ac:dyDescent="0.3">
      <c r="C89" s="20">
        <v>87</v>
      </c>
      <c r="D89" s="21" t="s">
        <v>1266</v>
      </c>
      <c r="E89" s="20" t="s">
        <v>274</v>
      </c>
    </row>
    <row r="90" spans="3:5" ht="15.75" thickBot="1" x14ac:dyDescent="0.3">
      <c r="C90" s="20">
        <v>88</v>
      </c>
      <c r="D90" s="21" t="s">
        <v>1268</v>
      </c>
      <c r="E90" s="20" t="s">
        <v>1254</v>
      </c>
    </row>
    <row r="91" spans="3:5" ht="15.75" thickBot="1" x14ac:dyDescent="0.3">
      <c r="C91" s="20">
        <v>89</v>
      </c>
      <c r="D91" s="21" t="s">
        <v>1269</v>
      </c>
      <c r="E91" s="20" t="s">
        <v>741</v>
      </c>
    </row>
    <row r="92" spans="3:5" ht="15.75" thickBot="1" x14ac:dyDescent="0.3">
      <c r="C92" s="20">
        <v>90</v>
      </c>
      <c r="D92" s="21" t="s">
        <v>1270</v>
      </c>
      <c r="E92" s="20" t="s">
        <v>143</v>
      </c>
    </row>
    <row r="93" spans="3:5" ht="15.75" thickBot="1" x14ac:dyDescent="0.3">
      <c r="C93" s="20">
        <v>91</v>
      </c>
      <c r="D93" s="21" t="s">
        <v>1271</v>
      </c>
      <c r="E93" s="20" t="s">
        <v>1226</v>
      </c>
    </row>
    <row r="94" spans="3:5" ht="15.75" thickBot="1" x14ac:dyDescent="0.3">
      <c r="C94" s="20">
        <v>92</v>
      </c>
      <c r="D94" s="21" t="s">
        <v>1273</v>
      </c>
      <c r="E94" s="20" t="s">
        <v>1148</v>
      </c>
    </row>
    <row r="95" spans="3:5" ht="30.75" thickBot="1" x14ac:dyDescent="0.3">
      <c r="C95" s="20">
        <v>93</v>
      </c>
      <c r="D95" s="21" t="s">
        <v>1276</v>
      </c>
      <c r="E95" s="20" t="s">
        <v>1277</v>
      </c>
    </row>
    <row r="96" spans="3:5" ht="15.75" thickBot="1" x14ac:dyDescent="0.3">
      <c r="C96" s="20">
        <v>94</v>
      </c>
      <c r="D96" s="21" t="s">
        <v>1278</v>
      </c>
      <c r="E96" s="20" t="s">
        <v>1256</v>
      </c>
    </row>
    <row r="97" spans="3:5" ht="15.75" thickBot="1" x14ac:dyDescent="0.3">
      <c r="C97" s="20">
        <v>95</v>
      </c>
      <c r="D97" s="21" t="s">
        <v>1280</v>
      </c>
      <c r="E97" s="20" t="s">
        <v>813</v>
      </c>
    </row>
    <row r="98" spans="3:5" ht="15.75" thickBot="1" x14ac:dyDescent="0.3">
      <c r="C98" s="20">
        <v>96</v>
      </c>
      <c r="D98" s="21" t="s">
        <v>1282</v>
      </c>
      <c r="E98" s="20" t="s">
        <v>1281</v>
      </c>
    </row>
    <row r="99" spans="3:5" ht="15.75" thickBot="1" x14ac:dyDescent="0.3">
      <c r="C99" s="20">
        <v>97</v>
      </c>
      <c r="D99" s="21" t="s">
        <v>1283</v>
      </c>
      <c r="E99" s="20" t="s">
        <v>1279</v>
      </c>
    </row>
    <row r="100" spans="3:5" ht="15.75" thickBot="1" x14ac:dyDescent="0.3">
      <c r="C100" s="20">
        <v>98</v>
      </c>
      <c r="D100" s="21" t="s">
        <v>1284</v>
      </c>
      <c r="E100" s="20" t="s">
        <v>841</v>
      </c>
    </row>
    <row r="101" spans="3:5" ht="15.75" thickBot="1" x14ac:dyDescent="0.3">
      <c r="C101" s="20">
        <v>99</v>
      </c>
      <c r="D101" s="21" t="s">
        <v>1285</v>
      </c>
      <c r="E101" s="20" t="s">
        <v>534</v>
      </c>
    </row>
    <row r="102" spans="3:5" ht="15.75" thickBot="1" x14ac:dyDescent="0.3">
      <c r="C102" s="20">
        <v>100</v>
      </c>
      <c r="D102" s="21" t="s">
        <v>1286</v>
      </c>
      <c r="E102" s="20" t="s">
        <v>367</v>
      </c>
    </row>
    <row r="103" spans="3:5" ht="15.75" thickBot="1" x14ac:dyDescent="0.3">
      <c r="C103" s="20">
        <v>101</v>
      </c>
      <c r="D103" s="21" t="s">
        <v>1287</v>
      </c>
      <c r="E103" s="20" t="s">
        <v>1263</v>
      </c>
    </row>
    <row r="104" spans="3:5" ht="15.75" thickBot="1" x14ac:dyDescent="0.3">
      <c r="C104" s="20">
        <v>102</v>
      </c>
      <c r="D104" s="21" t="s">
        <v>1288</v>
      </c>
      <c r="E104" s="20" t="s">
        <v>1180</v>
      </c>
    </row>
    <row r="105" spans="3:5" ht="15.75" thickBot="1" x14ac:dyDescent="0.3">
      <c r="C105" s="20">
        <v>103</v>
      </c>
      <c r="D105" s="21" t="s">
        <v>1290</v>
      </c>
      <c r="E105" s="20" t="s">
        <v>1267</v>
      </c>
    </row>
    <row r="106" spans="3:5" ht="15.75" thickBot="1" x14ac:dyDescent="0.3">
      <c r="C106" s="20">
        <v>104</v>
      </c>
      <c r="D106" s="21" t="s">
        <v>1291</v>
      </c>
      <c r="E106" s="20" t="s">
        <v>607</v>
      </c>
    </row>
    <row r="107" spans="3:5" ht="15.75" thickBot="1" x14ac:dyDescent="0.3">
      <c r="C107" s="20">
        <v>105</v>
      </c>
      <c r="D107" s="21" t="s">
        <v>1292</v>
      </c>
      <c r="E107" s="20" t="s">
        <v>424</v>
      </c>
    </row>
    <row r="108" spans="3:5" ht="15.75" thickBot="1" x14ac:dyDescent="0.3">
      <c r="C108" s="20">
        <v>106</v>
      </c>
      <c r="D108" s="21" t="s">
        <v>1293</v>
      </c>
      <c r="E108" s="20" t="s">
        <v>1102</v>
      </c>
    </row>
    <row r="109" spans="3:5" ht="15.75" thickBot="1" x14ac:dyDescent="0.3">
      <c r="C109" s="20">
        <v>107</v>
      </c>
      <c r="D109" s="21" t="s">
        <v>1294</v>
      </c>
      <c r="E109" s="20" t="s">
        <v>545</v>
      </c>
    </row>
    <row r="110" spans="3:5" ht="15.75" thickBot="1" x14ac:dyDescent="0.3">
      <c r="C110" s="20">
        <v>108</v>
      </c>
      <c r="D110" s="21" t="s">
        <v>1295</v>
      </c>
      <c r="E110" s="20" t="s">
        <v>964</v>
      </c>
    </row>
    <row r="111" spans="3:5" ht="15.75" thickBot="1" x14ac:dyDescent="0.3">
      <c r="C111" s="20">
        <v>109</v>
      </c>
      <c r="D111" s="21" t="s">
        <v>1296</v>
      </c>
      <c r="E111" s="20" t="s">
        <v>1179</v>
      </c>
    </row>
    <row r="112" spans="3:5" ht="15.75" thickBot="1" x14ac:dyDescent="0.3">
      <c r="C112" s="20">
        <v>110</v>
      </c>
      <c r="D112" s="21" t="s">
        <v>1298</v>
      </c>
      <c r="E112" s="20" t="s">
        <v>346</v>
      </c>
    </row>
    <row r="113" spans="3:5" ht="15.75" thickBot="1" x14ac:dyDescent="0.3">
      <c r="C113" s="20">
        <v>111</v>
      </c>
      <c r="D113" s="21" t="s">
        <v>1299</v>
      </c>
      <c r="E113" s="20" t="s">
        <v>477</v>
      </c>
    </row>
    <row r="114" spans="3:5" ht="15.75" thickBot="1" x14ac:dyDescent="0.3">
      <c r="C114" s="20">
        <v>112</v>
      </c>
      <c r="D114" s="21" t="s">
        <v>1300</v>
      </c>
      <c r="E114" s="20" t="s">
        <v>691</v>
      </c>
    </row>
    <row r="115" spans="3:5" ht="15.75" thickBot="1" x14ac:dyDescent="0.3">
      <c r="C115" s="20">
        <v>113</v>
      </c>
      <c r="D115" s="21" t="s">
        <v>1301</v>
      </c>
      <c r="E115" s="20" t="s">
        <v>691</v>
      </c>
    </row>
    <row r="116" spans="3:5" ht="15.75" thickBot="1" x14ac:dyDescent="0.3">
      <c r="C116" s="20">
        <v>114</v>
      </c>
      <c r="D116" s="21" t="s">
        <v>1302</v>
      </c>
      <c r="E116" s="20" t="s">
        <v>1272</v>
      </c>
    </row>
    <row r="117" spans="3:5" ht="15.75" thickBot="1" x14ac:dyDescent="0.3">
      <c r="C117" s="20">
        <v>115</v>
      </c>
      <c r="D117" s="21" t="s">
        <v>1303</v>
      </c>
      <c r="E117" s="20" t="s">
        <v>1017</v>
      </c>
    </row>
    <row r="118" spans="3:5" ht="15.75" thickBot="1" x14ac:dyDescent="0.3">
      <c r="C118" s="20">
        <v>116</v>
      </c>
      <c r="D118" s="21" t="s">
        <v>1304</v>
      </c>
      <c r="E118" s="20" t="s">
        <v>728</v>
      </c>
    </row>
    <row r="119" spans="3:5" ht="15.75" thickBot="1" x14ac:dyDescent="0.3">
      <c r="C119" s="20">
        <v>117</v>
      </c>
      <c r="D119" s="21" t="s">
        <v>1305</v>
      </c>
      <c r="E119" s="20" t="s">
        <v>1289</v>
      </c>
    </row>
    <row r="120" spans="3:5" ht="15.75" thickBot="1" x14ac:dyDescent="0.3">
      <c r="C120" s="20">
        <v>118</v>
      </c>
      <c r="D120" s="21" t="s">
        <v>1306</v>
      </c>
      <c r="E120" s="20" t="s">
        <v>1070</v>
      </c>
    </row>
    <row r="121" spans="3:5" ht="15.75" thickBot="1" x14ac:dyDescent="0.3">
      <c r="C121" s="20">
        <v>119</v>
      </c>
      <c r="D121" s="21" t="s">
        <v>1307</v>
      </c>
      <c r="E121" s="20" t="s">
        <v>760</v>
      </c>
    </row>
    <row r="122" spans="3:5" ht="15.75" thickBot="1" x14ac:dyDescent="0.3">
      <c r="C122" s="20">
        <v>120</v>
      </c>
      <c r="D122" s="21" t="s">
        <v>1308</v>
      </c>
      <c r="E122" s="20" t="s">
        <v>760</v>
      </c>
    </row>
    <row r="123" spans="3:5" ht="15.75" thickBot="1" x14ac:dyDescent="0.3">
      <c r="C123" s="20">
        <v>121</v>
      </c>
      <c r="D123" s="21" t="s">
        <v>1310</v>
      </c>
      <c r="E123" s="20" t="s">
        <v>742</v>
      </c>
    </row>
    <row r="124" spans="3:5" ht="15.75" thickBot="1" x14ac:dyDescent="0.3">
      <c r="C124" s="20">
        <v>122</v>
      </c>
      <c r="D124" s="21" t="s">
        <v>1311</v>
      </c>
      <c r="E124" s="20" t="s">
        <v>30</v>
      </c>
    </row>
    <row r="125" spans="3:5" ht="30.75" thickBot="1" x14ac:dyDescent="0.3">
      <c r="C125" s="20">
        <v>123</v>
      </c>
      <c r="D125" s="21" t="s">
        <v>1312</v>
      </c>
      <c r="E125" s="20" t="s">
        <v>382</v>
      </c>
    </row>
    <row r="126" spans="3:5" ht="15.75" thickBot="1" x14ac:dyDescent="0.3">
      <c r="C126" s="20">
        <v>124</v>
      </c>
      <c r="D126" s="21" t="s">
        <v>1313</v>
      </c>
      <c r="E126" s="20" t="s">
        <v>25</v>
      </c>
    </row>
    <row r="127" spans="3:5" ht="15.75" thickBot="1" x14ac:dyDescent="0.3">
      <c r="C127" s="20">
        <v>125</v>
      </c>
      <c r="D127" s="21" t="s">
        <v>1314</v>
      </c>
      <c r="E127" s="20" t="s">
        <v>1100</v>
      </c>
    </row>
    <row r="128" spans="3:5" ht="15.75" thickBot="1" x14ac:dyDescent="0.3">
      <c r="C128" s="20">
        <v>126</v>
      </c>
      <c r="D128" s="21" t="s">
        <v>1315</v>
      </c>
      <c r="E128" s="20" t="s">
        <v>1100</v>
      </c>
    </row>
    <row r="129" spans="3:5" ht="15.75" thickBot="1" x14ac:dyDescent="0.3">
      <c r="C129" s="20">
        <v>127</v>
      </c>
      <c r="D129" s="21" t="s">
        <v>1316</v>
      </c>
      <c r="E129" s="20" t="s">
        <v>523</v>
      </c>
    </row>
    <row r="130" spans="3:5" ht="30.75" thickBot="1" x14ac:dyDescent="0.3">
      <c r="C130" s="20">
        <v>128</v>
      </c>
      <c r="D130" s="21" t="s">
        <v>1317</v>
      </c>
      <c r="E130" s="20" t="s">
        <v>1318</v>
      </c>
    </row>
    <row r="131" spans="3:5" ht="15.75" thickBot="1" x14ac:dyDescent="0.3">
      <c r="C131" s="20">
        <v>129</v>
      </c>
      <c r="D131" s="21" t="s">
        <v>1319</v>
      </c>
      <c r="E131" s="20" t="s">
        <v>522</v>
      </c>
    </row>
    <row r="132" spans="3:5" ht="15.75" thickBot="1" x14ac:dyDescent="0.3">
      <c r="C132" s="20">
        <v>130</v>
      </c>
      <c r="D132" s="21" t="s">
        <v>1320</v>
      </c>
      <c r="E132" s="20" t="s">
        <v>1297</v>
      </c>
    </row>
    <row r="133" spans="3:5" ht="15.75" thickBot="1" x14ac:dyDescent="0.3">
      <c r="C133" s="20">
        <v>131</v>
      </c>
      <c r="D133" s="21" t="s">
        <v>1321</v>
      </c>
      <c r="E133" s="20" t="s">
        <v>148</v>
      </c>
    </row>
    <row r="134" spans="3:5" ht="15.75" thickBot="1" x14ac:dyDescent="0.3">
      <c r="C134" s="20">
        <v>132</v>
      </c>
      <c r="D134" s="21" t="s">
        <v>1323</v>
      </c>
      <c r="E134" s="20" t="s">
        <v>148</v>
      </c>
    </row>
    <row r="135" spans="3:5" ht="15.75" thickBot="1" x14ac:dyDescent="0.3">
      <c r="C135" s="20">
        <v>133</v>
      </c>
      <c r="D135" s="21" t="s">
        <v>1324</v>
      </c>
      <c r="E135" s="20" t="s">
        <v>414</v>
      </c>
    </row>
    <row r="136" spans="3:5" ht="15.75" thickBot="1" x14ac:dyDescent="0.3">
      <c r="C136" s="20">
        <v>134</v>
      </c>
      <c r="D136" s="21" t="s">
        <v>1325</v>
      </c>
      <c r="E136" s="20" t="s">
        <v>221</v>
      </c>
    </row>
    <row r="137" spans="3:5" ht="15.75" thickBot="1" x14ac:dyDescent="0.3">
      <c r="C137" s="20">
        <v>135</v>
      </c>
      <c r="D137" s="21" t="s">
        <v>1326</v>
      </c>
      <c r="E137" s="20" t="s">
        <v>1274</v>
      </c>
    </row>
    <row r="138" spans="3:5" ht="15.75" thickBot="1" x14ac:dyDescent="0.3">
      <c r="C138" s="20">
        <v>136</v>
      </c>
      <c r="D138" s="21" t="s">
        <v>1327</v>
      </c>
      <c r="E138" s="20" t="s">
        <v>341</v>
      </c>
    </row>
    <row r="139" spans="3:5" ht="15.75" thickBot="1" x14ac:dyDescent="0.3">
      <c r="C139" s="20">
        <v>137</v>
      </c>
      <c r="D139" s="21" t="s">
        <v>1328</v>
      </c>
      <c r="E139" s="20" t="s">
        <v>1275</v>
      </c>
    </row>
    <row r="140" spans="3:5" ht="15.75" thickBot="1" x14ac:dyDescent="0.3">
      <c r="C140" s="20">
        <v>138</v>
      </c>
      <c r="D140" s="21" t="s">
        <v>1329</v>
      </c>
      <c r="E140" s="20" t="s">
        <v>1275</v>
      </c>
    </row>
    <row r="141" spans="3:5" ht="15.75" thickBot="1" x14ac:dyDescent="0.3">
      <c r="C141" s="20">
        <v>139</v>
      </c>
      <c r="D141" s="21" t="s">
        <v>1330</v>
      </c>
      <c r="E141" s="20" t="s">
        <v>468</v>
      </c>
    </row>
    <row r="142" spans="3:5" ht="15.75" thickBot="1" x14ac:dyDescent="0.3">
      <c r="C142" s="20">
        <v>140</v>
      </c>
      <c r="D142" s="21" t="s">
        <v>1331</v>
      </c>
      <c r="E142" s="20" t="s">
        <v>1322</v>
      </c>
    </row>
    <row r="143" spans="3:5" ht="15.75" thickBot="1" x14ac:dyDescent="0.3">
      <c r="C143" s="20">
        <v>141</v>
      </c>
      <c r="D143" s="21" t="s">
        <v>1332</v>
      </c>
      <c r="E143" s="20" t="s">
        <v>1322</v>
      </c>
    </row>
    <row r="144" spans="3:5" ht="15.75" thickBot="1" x14ac:dyDescent="0.3">
      <c r="C144" s="20">
        <v>142</v>
      </c>
      <c r="D144" s="21" t="s">
        <v>1333</v>
      </c>
      <c r="E144" s="20" t="s">
        <v>1322</v>
      </c>
    </row>
    <row r="145" spans="3:5" ht="15.75" thickBot="1" x14ac:dyDescent="0.3">
      <c r="C145" s="20">
        <v>143</v>
      </c>
      <c r="D145" s="21" t="s">
        <v>1334</v>
      </c>
      <c r="E145" s="20" t="s">
        <v>1309</v>
      </c>
    </row>
    <row r="146" spans="3:5" ht="45.75" thickBot="1" x14ac:dyDescent="0.3">
      <c r="C146" s="20">
        <v>144</v>
      </c>
      <c r="D146" s="21" t="s">
        <v>1335</v>
      </c>
      <c r="E146" s="20" t="s">
        <v>602</v>
      </c>
    </row>
    <row r="147" spans="3:5" ht="15.75" thickBot="1" x14ac:dyDescent="0.3">
      <c r="C147" s="20" t="s">
        <v>1336</v>
      </c>
      <c r="D147" s="21" t="s">
        <v>1337</v>
      </c>
      <c r="E147" s="20"/>
    </row>
    <row r="148" spans="3:5" ht="15.75" thickBot="1" x14ac:dyDescent="0.3">
      <c r="C148" s="22" t="s">
        <v>1336</v>
      </c>
      <c r="D148" s="23" t="s">
        <v>1338</v>
      </c>
      <c r="E148" s="24"/>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01CE2-D5E8-47AC-AB02-F817170C5F84}">
  <sheetPr codeName="Feuil12"/>
  <dimension ref="B1:I190"/>
  <sheetViews>
    <sheetView workbookViewId="0">
      <pane ySplit="1" topLeftCell="A39" activePane="bottomLeft" state="frozen"/>
      <selection pane="bottomLeft" activeCell="A42" sqref="A42:XFD42"/>
    </sheetView>
  </sheetViews>
  <sheetFormatPr baseColWidth="10" defaultRowHeight="15" x14ac:dyDescent="0.25"/>
  <cols>
    <col min="2" max="2" width="6.28515625" bestFit="1" customWidth="1"/>
    <col min="3" max="3" width="31.7109375" bestFit="1" customWidth="1"/>
    <col min="4" max="8" width="23.28515625" customWidth="1"/>
    <col min="9" max="9" width="25.28515625" customWidth="1"/>
  </cols>
  <sheetData>
    <row r="1" spans="2:9" s="18" customFormat="1" ht="45.75" thickBot="1" x14ac:dyDescent="0.3">
      <c r="B1" s="14" t="s">
        <v>11</v>
      </c>
      <c r="C1" s="14" t="s">
        <v>15</v>
      </c>
      <c r="D1" s="15" t="s">
        <v>16</v>
      </c>
      <c r="E1" s="15" t="s">
        <v>17</v>
      </c>
      <c r="F1" s="16" t="s">
        <v>18</v>
      </c>
      <c r="G1" s="14" t="s">
        <v>19</v>
      </c>
      <c r="H1" s="14" t="s">
        <v>20</v>
      </c>
      <c r="I1" s="14" t="s">
        <v>1108</v>
      </c>
    </row>
    <row r="2" spans="2:9" ht="15.75" thickBot="1" x14ac:dyDescent="0.3">
      <c r="B2" s="17">
        <v>1</v>
      </c>
      <c r="C2" s="17" t="s">
        <v>21</v>
      </c>
      <c r="D2" s="17" t="s">
        <v>22</v>
      </c>
      <c r="E2" s="17" t="s">
        <v>23</v>
      </c>
      <c r="F2" s="17" t="s">
        <v>24</v>
      </c>
      <c r="G2" s="17" t="s">
        <v>25</v>
      </c>
      <c r="H2" s="17" t="s">
        <v>26</v>
      </c>
      <c r="I2" s="17" t="s">
        <v>27</v>
      </c>
    </row>
    <row r="3" spans="2:9" ht="15.75" thickBot="1" x14ac:dyDescent="0.3">
      <c r="B3" s="17">
        <v>2</v>
      </c>
      <c r="C3" s="17" t="s">
        <v>28</v>
      </c>
      <c r="D3" s="17" t="s">
        <v>29</v>
      </c>
      <c r="E3" s="17" t="s">
        <v>30</v>
      </c>
      <c r="F3" s="17" t="s">
        <v>31</v>
      </c>
      <c r="G3" s="17" t="s">
        <v>32</v>
      </c>
      <c r="H3" s="17" t="s">
        <v>33</v>
      </c>
      <c r="I3" s="17" t="s">
        <v>34</v>
      </c>
    </row>
    <row r="4" spans="2:9" ht="15.75" thickBot="1" x14ac:dyDescent="0.3">
      <c r="B4" s="17">
        <v>3</v>
      </c>
      <c r="C4" s="17" t="s">
        <v>35</v>
      </c>
      <c r="D4" s="17" t="s">
        <v>36</v>
      </c>
      <c r="E4" s="17" t="s">
        <v>37</v>
      </c>
      <c r="F4" s="17" t="s">
        <v>38</v>
      </c>
      <c r="G4" s="17" t="s">
        <v>39</v>
      </c>
      <c r="H4" s="17" t="s">
        <v>40</v>
      </c>
      <c r="I4" s="17" t="s">
        <v>41</v>
      </c>
    </row>
    <row r="5" spans="2:9" ht="15.75" thickBot="1" x14ac:dyDescent="0.3">
      <c r="B5" s="17">
        <v>4</v>
      </c>
      <c r="C5" s="17" t="s">
        <v>42</v>
      </c>
      <c r="D5" s="17" t="s">
        <v>43</v>
      </c>
      <c r="E5" s="17" t="s">
        <v>44</v>
      </c>
      <c r="F5" s="17" t="s">
        <v>45</v>
      </c>
      <c r="G5" s="17" t="s">
        <v>46</v>
      </c>
      <c r="H5" s="17" t="s">
        <v>47</v>
      </c>
      <c r="I5" s="17" t="s">
        <v>48</v>
      </c>
    </row>
    <row r="6" spans="2:9" ht="15.75" thickBot="1" x14ac:dyDescent="0.3">
      <c r="B6" s="17">
        <v>5</v>
      </c>
      <c r="C6" s="17" t="s">
        <v>49</v>
      </c>
      <c r="D6" s="17" t="s">
        <v>50</v>
      </c>
      <c r="E6" s="17" t="s">
        <v>51</v>
      </c>
      <c r="F6" s="17" t="s">
        <v>52</v>
      </c>
      <c r="G6" s="17" t="s">
        <v>53</v>
      </c>
      <c r="H6" s="17" t="s">
        <v>54</v>
      </c>
      <c r="I6" s="17" t="s">
        <v>55</v>
      </c>
    </row>
    <row r="7" spans="2:9" ht="15.75" thickBot="1" x14ac:dyDescent="0.3">
      <c r="B7" s="17">
        <v>6</v>
      </c>
      <c r="C7" s="17" t="s">
        <v>56</v>
      </c>
      <c r="D7" s="17" t="s">
        <v>57</v>
      </c>
      <c r="E7" s="17" t="s">
        <v>58</v>
      </c>
      <c r="F7" s="17" t="s">
        <v>59</v>
      </c>
      <c r="G7" s="17" t="s">
        <v>60</v>
      </c>
      <c r="H7" s="17" t="s">
        <v>61</v>
      </c>
      <c r="I7" s="17" t="s">
        <v>62</v>
      </c>
    </row>
    <row r="8" spans="2:9" ht="15.75" thickBot="1" x14ac:dyDescent="0.3">
      <c r="B8" s="17">
        <v>7</v>
      </c>
      <c r="C8" s="17" t="s">
        <v>63</v>
      </c>
      <c r="D8" s="17" t="s">
        <v>64</v>
      </c>
      <c r="E8" s="17" t="s">
        <v>65</v>
      </c>
      <c r="F8" s="17" t="s">
        <v>66</v>
      </c>
      <c r="G8" s="17" t="s">
        <v>67</v>
      </c>
      <c r="H8" s="17" t="s">
        <v>68</v>
      </c>
      <c r="I8" s="17" t="s">
        <v>69</v>
      </c>
    </row>
    <row r="9" spans="2:9" ht="15.75" thickBot="1" x14ac:dyDescent="0.3">
      <c r="B9" s="17">
        <v>8</v>
      </c>
      <c r="C9" s="17" t="s">
        <v>70</v>
      </c>
      <c r="D9" s="17" t="s">
        <v>71</v>
      </c>
      <c r="E9" s="17" t="s">
        <v>72</v>
      </c>
      <c r="F9" s="17" t="s">
        <v>73</v>
      </c>
      <c r="G9" s="17" t="s">
        <v>74</v>
      </c>
      <c r="H9" s="17" t="s">
        <v>75</v>
      </c>
      <c r="I9" s="17" t="s">
        <v>76</v>
      </c>
    </row>
    <row r="10" spans="2:9" ht="15.75" thickBot="1" x14ac:dyDescent="0.3">
      <c r="B10" s="17">
        <v>9</v>
      </c>
      <c r="C10" s="17" t="s">
        <v>77</v>
      </c>
      <c r="D10" s="17" t="s">
        <v>78</v>
      </c>
      <c r="E10" s="17" t="s">
        <v>79</v>
      </c>
      <c r="F10" s="17" t="s">
        <v>80</v>
      </c>
      <c r="G10" s="17" t="s">
        <v>81</v>
      </c>
      <c r="H10" s="17" t="s">
        <v>82</v>
      </c>
      <c r="I10" s="17" t="s">
        <v>83</v>
      </c>
    </row>
    <row r="11" spans="2:9" ht="15.75" thickBot="1" x14ac:dyDescent="0.3">
      <c r="B11" s="17">
        <v>10</v>
      </c>
      <c r="C11" s="17" t="s">
        <v>84</v>
      </c>
      <c r="D11" s="17" t="s">
        <v>85</v>
      </c>
      <c r="E11" s="17" t="s">
        <v>86</v>
      </c>
      <c r="F11" s="17" t="s">
        <v>87</v>
      </c>
      <c r="G11" s="17" t="s">
        <v>88</v>
      </c>
      <c r="H11" s="17" t="s">
        <v>89</v>
      </c>
      <c r="I11" s="17" t="s">
        <v>90</v>
      </c>
    </row>
    <row r="12" spans="2:9" ht="15.75" thickBot="1" x14ac:dyDescent="0.3">
      <c r="B12" s="17">
        <v>11</v>
      </c>
      <c r="C12" s="17" t="s">
        <v>91</v>
      </c>
      <c r="D12" s="17" t="s">
        <v>92</v>
      </c>
      <c r="E12" s="17" t="s">
        <v>93</v>
      </c>
      <c r="F12" s="17" t="s">
        <v>94</v>
      </c>
      <c r="G12" s="17" t="s">
        <v>95</v>
      </c>
      <c r="H12" s="17" t="s">
        <v>96</v>
      </c>
      <c r="I12" s="17" t="s">
        <v>97</v>
      </c>
    </row>
    <row r="13" spans="2:9" ht="15.75" thickBot="1" x14ac:dyDescent="0.3">
      <c r="B13" s="17">
        <v>12</v>
      </c>
      <c r="C13" s="17" t="s">
        <v>98</v>
      </c>
      <c r="D13" s="17" t="s">
        <v>99</v>
      </c>
      <c r="E13" s="17" t="s">
        <v>100</v>
      </c>
      <c r="F13" s="17" t="s">
        <v>101</v>
      </c>
      <c r="G13" s="17" t="s">
        <v>102</v>
      </c>
      <c r="H13" s="17" t="s">
        <v>103</v>
      </c>
      <c r="I13" s="17" t="s">
        <v>104</v>
      </c>
    </row>
    <row r="14" spans="2:9" ht="15.75" thickBot="1" x14ac:dyDescent="0.3">
      <c r="B14" s="17">
        <v>13</v>
      </c>
      <c r="C14" s="17" t="s">
        <v>105</v>
      </c>
      <c r="D14" s="17" t="s">
        <v>106</v>
      </c>
      <c r="E14" s="17" t="s">
        <v>107</v>
      </c>
      <c r="F14" s="17" t="s">
        <v>108</v>
      </c>
      <c r="G14" s="17" t="s">
        <v>109</v>
      </c>
      <c r="H14" s="17" t="s">
        <v>110</v>
      </c>
      <c r="I14" s="17" t="s">
        <v>111</v>
      </c>
    </row>
    <row r="15" spans="2:9" ht="15.75" thickBot="1" x14ac:dyDescent="0.3">
      <c r="B15" s="17">
        <v>14</v>
      </c>
      <c r="C15" s="17" t="s">
        <v>112</v>
      </c>
      <c r="D15" s="17" t="s">
        <v>113</v>
      </c>
      <c r="E15" s="17" t="s">
        <v>114</v>
      </c>
      <c r="F15" s="17" t="s">
        <v>115</v>
      </c>
      <c r="G15" s="17" t="s">
        <v>116</v>
      </c>
      <c r="H15" s="17" t="s">
        <v>117</v>
      </c>
      <c r="I15" s="17" t="s">
        <v>118</v>
      </c>
    </row>
    <row r="16" spans="2:9" ht="15.75" thickBot="1" x14ac:dyDescent="0.3">
      <c r="B16" s="17">
        <v>15</v>
      </c>
      <c r="C16" s="17" t="s">
        <v>119</v>
      </c>
      <c r="D16" s="17" t="s">
        <v>120</v>
      </c>
      <c r="E16" s="17" t="s">
        <v>121</v>
      </c>
      <c r="F16" s="17" t="s">
        <v>122</v>
      </c>
      <c r="G16" s="17" t="s">
        <v>123</v>
      </c>
      <c r="H16" s="17" t="s">
        <v>124</v>
      </c>
      <c r="I16" s="17" t="s">
        <v>125</v>
      </c>
    </row>
    <row r="17" spans="2:9" ht="15.75" thickBot="1" x14ac:dyDescent="0.3">
      <c r="B17" s="17">
        <v>16</v>
      </c>
      <c r="C17" s="17" t="s">
        <v>126</v>
      </c>
      <c r="D17" s="17" t="s">
        <v>127</v>
      </c>
      <c r="E17" s="17" t="s">
        <v>128</v>
      </c>
      <c r="F17" s="17" t="s">
        <v>129</v>
      </c>
      <c r="G17" s="17" t="s">
        <v>130</v>
      </c>
      <c r="H17" s="17" t="s">
        <v>131</v>
      </c>
      <c r="I17" s="17" t="s">
        <v>132</v>
      </c>
    </row>
    <row r="18" spans="2:9" ht="15.75" thickBot="1" x14ac:dyDescent="0.3">
      <c r="B18" s="17">
        <v>17</v>
      </c>
      <c r="C18" s="17" t="s">
        <v>133</v>
      </c>
      <c r="D18" s="17" t="s">
        <v>134</v>
      </c>
      <c r="E18" s="17" t="s">
        <v>135</v>
      </c>
      <c r="F18" s="17" t="s">
        <v>136</v>
      </c>
      <c r="G18" s="17" t="s">
        <v>137</v>
      </c>
      <c r="H18" s="17" t="s">
        <v>138</v>
      </c>
      <c r="I18" s="17" t="s">
        <v>139</v>
      </c>
    </row>
    <row r="19" spans="2:9" ht="15.75" thickBot="1" x14ac:dyDescent="0.3">
      <c r="B19" s="17">
        <v>18</v>
      </c>
      <c r="C19" s="17" t="s">
        <v>140</v>
      </c>
      <c r="D19" s="17" t="s">
        <v>141</v>
      </c>
      <c r="E19" s="17" t="s">
        <v>135</v>
      </c>
      <c r="F19" s="17" t="s">
        <v>142</v>
      </c>
      <c r="G19" s="17" t="s">
        <v>143</v>
      </c>
      <c r="H19" s="17" t="s">
        <v>144</v>
      </c>
      <c r="I19" s="17" t="s">
        <v>145</v>
      </c>
    </row>
    <row r="20" spans="2:9" ht="15.75" thickBot="1" x14ac:dyDescent="0.3">
      <c r="B20" s="17">
        <v>19</v>
      </c>
      <c r="C20" s="17" t="s">
        <v>146</v>
      </c>
      <c r="D20" s="17" t="s">
        <v>147</v>
      </c>
      <c r="E20" s="17" t="s">
        <v>148</v>
      </c>
      <c r="F20" s="17" t="s">
        <v>149</v>
      </c>
      <c r="G20" s="17" t="s">
        <v>150</v>
      </c>
      <c r="H20" s="17" t="s">
        <v>151</v>
      </c>
      <c r="I20" s="17" t="s">
        <v>152</v>
      </c>
    </row>
    <row r="21" spans="2:9" ht="15.75" thickBot="1" x14ac:dyDescent="0.3">
      <c r="B21" s="17">
        <v>20</v>
      </c>
      <c r="C21" s="17" t="s">
        <v>153</v>
      </c>
      <c r="D21" s="17" t="s">
        <v>154</v>
      </c>
      <c r="E21" s="17" t="s">
        <v>155</v>
      </c>
      <c r="F21" s="17" t="s">
        <v>156</v>
      </c>
      <c r="G21" s="17" t="s">
        <v>157</v>
      </c>
      <c r="H21" s="17" t="s">
        <v>158</v>
      </c>
      <c r="I21" s="17" t="s">
        <v>159</v>
      </c>
    </row>
    <row r="22" spans="2:9" ht="15.75" thickBot="1" x14ac:dyDescent="0.3">
      <c r="B22" s="17">
        <v>21</v>
      </c>
      <c r="C22" s="17" t="s">
        <v>160</v>
      </c>
      <c r="D22" s="17" t="s">
        <v>161</v>
      </c>
      <c r="E22" s="17" t="s">
        <v>162</v>
      </c>
      <c r="F22" s="17" t="s">
        <v>163</v>
      </c>
      <c r="G22" s="17" t="s">
        <v>164</v>
      </c>
      <c r="H22" s="17" t="s">
        <v>165</v>
      </c>
      <c r="I22" s="17" t="s">
        <v>166</v>
      </c>
    </row>
    <row r="23" spans="2:9" ht="15.75" thickBot="1" x14ac:dyDescent="0.3">
      <c r="B23" s="17">
        <v>22</v>
      </c>
      <c r="C23" s="17" t="s">
        <v>167</v>
      </c>
      <c r="D23" s="17" t="s">
        <v>168</v>
      </c>
      <c r="E23" s="17" t="s">
        <v>169</v>
      </c>
      <c r="F23" s="17" t="s">
        <v>170</v>
      </c>
      <c r="G23" s="17" t="s">
        <v>171</v>
      </c>
      <c r="H23" s="17" t="s">
        <v>138</v>
      </c>
      <c r="I23" s="17" t="s">
        <v>172</v>
      </c>
    </row>
    <row r="24" spans="2:9" ht="15.75" thickBot="1" x14ac:dyDescent="0.3">
      <c r="B24" s="17">
        <v>22</v>
      </c>
      <c r="C24" s="17" t="s">
        <v>173</v>
      </c>
      <c r="D24" s="17" t="s">
        <v>174</v>
      </c>
      <c r="E24" s="17" t="s">
        <v>175</v>
      </c>
      <c r="F24" s="17" t="s">
        <v>176</v>
      </c>
      <c r="G24" s="17" t="s">
        <v>177</v>
      </c>
      <c r="H24" s="17" t="s">
        <v>178</v>
      </c>
      <c r="I24" s="17" t="s">
        <v>179</v>
      </c>
    </row>
    <row r="25" spans="2:9" ht="15.75" thickBot="1" x14ac:dyDescent="0.3">
      <c r="B25" s="17">
        <v>23</v>
      </c>
      <c r="C25" s="17" t="s">
        <v>180</v>
      </c>
      <c r="D25" s="17" t="s">
        <v>181</v>
      </c>
      <c r="E25" s="17" t="s">
        <v>182</v>
      </c>
      <c r="F25" s="17" t="s">
        <v>183</v>
      </c>
      <c r="G25" s="17" t="s">
        <v>184</v>
      </c>
      <c r="H25" s="17" t="s">
        <v>185</v>
      </c>
      <c r="I25" s="17" t="s">
        <v>186</v>
      </c>
    </row>
    <row r="26" spans="2:9" ht="15.75" thickBot="1" x14ac:dyDescent="0.3">
      <c r="B26" s="17">
        <v>24</v>
      </c>
      <c r="C26" s="17" t="s">
        <v>187</v>
      </c>
      <c r="D26" s="17" t="s">
        <v>188</v>
      </c>
      <c r="E26" s="17" t="s">
        <v>189</v>
      </c>
      <c r="F26" s="17" t="s">
        <v>190</v>
      </c>
      <c r="G26" s="17" t="s">
        <v>191</v>
      </c>
      <c r="H26" s="17" t="s">
        <v>192</v>
      </c>
      <c r="I26" s="17" t="s">
        <v>193</v>
      </c>
    </row>
    <row r="27" spans="2:9" ht="15.75" thickBot="1" x14ac:dyDescent="0.3">
      <c r="B27" s="17">
        <v>25</v>
      </c>
      <c r="C27" s="17" t="s">
        <v>194</v>
      </c>
      <c r="D27" s="17" t="s">
        <v>195</v>
      </c>
      <c r="E27" s="17" t="s">
        <v>196</v>
      </c>
      <c r="F27" s="17" t="s">
        <v>197</v>
      </c>
      <c r="G27" s="17">
        <v>8</v>
      </c>
      <c r="H27" s="17" t="s">
        <v>198</v>
      </c>
      <c r="I27" s="17" t="s">
        <v>199</v>
      </c>
    </row>
    <row r="28" spans="2:9" ht="15.75" thickBot="1" x14ac:dyDescent="0.3">
      <c r="B28" s="17">
        <v>26</v>
      </c>
      <c r="C28" s="17" t="s">
        <v>200</v>
      </c>
      <c r="D28" s="17" t="s">
        <v>201</v>
      </c>
      <c r="E28" s="17" t="s">
        <v>202</v>
      </c>
      <c r="F28" s="17" t="s">
        <v>203</v>
      </c>
      <c r="G28" s="17" t="s">
        <v>204</v>
      </c>
      <c r="H28" s="17" t="s">
        <v>205</v>
      </c>
      <c r="I28" s="17" t="s">
        <v>206</v>
      </c>
    </row>
    <row r="29" spans="2:9" ht="15.75" thickBot="1" x14ac:dyDescent="0.3">
      <c r="B29" s="17">
        <v>27</v>
      </c>
      <c r="C29" s="17" t="s">
        <v>207</v>
      </c>
      <c r="D29" s="17" t="s">
        <v>208</v>
      </c>
      <c r="E29" s="17" t="s">
        <v>209</v>
      </c>
      <c r="F29" s="17" t="s">
        <v>210</v>
      </c>
      <c r="G29" s="17">
        <v>49</v>
      </c>
      <c r="H29" s="17" t="s">
        <v>211</v>
      </c>
      <c r="I29" s="17" t="s">
        <v>212</v>
      </c>
    </row>
    <row r="30" spans="2:9" ht="15.75" thickBot="1" x14ac:dyDescent="0.3">
      <c r="B30" s="17">
        <v>28</v>
      </c>
      <c r="C30" s="17" t="s">
        <v>213</v>
      </c>
      <c r="D30" s="17" t="s">
        <v>208</v>
      </c>
      <c r="E30" s="17" t="s">
        <v>214</v>
      </c>
      <c r="F30" s="17" t="s">
        <v>215</v>
      </c>
      <c r="G30" s="17" t="s">
        <v>216</v>
      </c>
      <c r="H30" s="17" t="s">
        <v>217</v>
      </c>
      <c r="I30" s="17" t="s">
        <v>218</v>
      </c>
    </row>
    <row r="31" spans="2:9" ht="15.75" thickBot="1" x14ac:dyDescent="0.3">
      <c r="B31" s="17">
        <v>29</v>
      </c>
      <c r="C31" s="17" t="s">
        <v>219</v>
      </c>
      <c r="D31" s="17" t="s">
        <v>220</v>
      </c>
      <c r="E31" s="17" t="s">
        <v>221</v>
      </c>
      <c r="F31" s="17" t="s">
        <v>222</v>
      </c>
      <c r="G31" s="17" t="s">
        <v>204</v>
      </c>
      <c r="H31" s="17" t="s">
        <v>223</v>
      </c>
      <c r="I31" s="17" t="s">
        <v>224</v>
      </c>
    </row>
    <row r="32" spans="2:9" ht="15.75" thickBot="1" x14ac:dyDescent="0.3">
      <c r="B32" s="17">
        <v>30</v>
      </c>
      <c r="C32" s="17" t="s">
        <v>225</v>
      </c>
      <c r="D32" s="17" t="s">
        <v>226</v>
      </c>
      <c r="E32" s="17" t="s">
        <v>227</v>
      </c>
      <c r="F32" s="17" t="s">
        <v>228</v>
      </c>
      <c r="G32" s="17" t="s">
        <v>229</v>
      </c>
      <c r="H32" s="17" t="s">
        <v>230</v>
      </c>
      <c r="I32" s="17" t="s">
        <v>231</v>
      </c>
    </row>
    <row r="33" spans="2:9" ht="15.75" thickBot="1" x14ac:dyDescent="0.3">
      <c r="B33" s="17">
        <v>31</v>
      </c>
      <c r="C33" s="17" t="s">
        <v>232</v>
      </c>
      <c r="D33" s="17" t="s">
        <v>233</v>
      </c>
      <c r="E33" s="17" t="s">
        <v>234</v>
      </c>
      <c r="F33" s="17" t="s">
        <v>235</v>
      </c>
      <c r="G33" s="17" t="s">
        <v>236</v>
      </c>
      <c r="H33" s="17" t="s">
        <v>237</v>
      </c>
      <c r="I33" s="17" t="s">
        <v>238</v>
      </c>
    </row>
    <row r="34" spans="2:9" ht="15.75" thickBot="1" x14ac:dyDescent="0.3">
      <c r="B34" s="17">
        <v>32</v>
      </c>
      <c r="C34" s="17" t="s">
        <v>239</v>
      </c>
      <c r="D34" s="17" t="s">
        <v>240</v>
      </c>
      <c r="E34" s="17" t="s">
        <v>241</v>
      </c>
      <c r="F34" s="17" t="s">
        <v>242</v>
      </c>
      <c r="G34" s="17" t="s">
        <v>243</v>
      </c>
      <c r="H34" s="17" t="s">
        <v>244</v>
      </c>
      <c r="I34" s="17" t="s">
        <v>245</v>
      </c>
    </row>
    <row r="35" spans="2:9" ht="15.75" thickBot="1" x14ac:dyDescent="0.3">
      <c r="B35" s="17">
        <v>33</v>
      </c>
      <c r="C35" s="17" t="s">
        <v>246</v>
      </c>
      <c r="D35" s="17" t="s">
        <v>247</v>
      </c>
      <c r="E35" s="17" t="s">
        <v>248</v>
      </c>
      <c r="F35" s="17" t="s">
        <v>249</v>
      </c>
      <c r="G35" s="17" t="s">
        <v>250</v>
      </c>
      <c r="H35" s="17" t="s">
        <v>251</v>
      </c>
      <c r="I35" s="17" t="s">
        <v>252</v>
      </c>
    </row>
    <row r="36" spans="2:9" ht="15.75" thickBot="1" x14ac:dyDescent="0.3">
      <c r="B36" s="17">
        <v>34</v>
      </c>
      <c r="C36" s="17" t="s">
        <v>253</v>
      </c>
      <c r="D36" s="17" t="s">
        <v>254</v>
      </c>
      <c r="E36" s="17" t="s">
        <v>255</v>
      </c>
      <c r="F36" s="17" t="s">
        <v>256</v>
      </c>
      <c r="G36" s="17" t="s">
        <v>233</v>
      </c>
      <c r="H36" s="17" t="s">
        <v>257</v>
      </c>
      <c r="I36" s="17" t="s">
        <v>258</v>
      </c>
    </row>
    <row r="37" spans="2:9" ht="15.75" thickBot="1" x14ac:dyDescent="0.3">
      <c r="B37" s="17">
        <v>35</v>
      </c>
      <c r="C37" s="17" t="s">
        <v>259</v>
      </c>
      <c r="D37" s="17" t="s">
        <v>260</v>
      </c>
      <c r="E37" s="17" t="s">
        <v>261</v>
      </c>
      <c r="F37" s="17" t="s">
        <v>262</v>
      </c>
      <c r="G37" s="17" t="s">
        <v>263</v>
      </c>
      <c r="H37" s="17" t="s">
        <v>264</v>
      </c>
      <c r="I37" s="17" t="s">
        <v>265</v>
      </c>
    </row>
    <row r="38" spans="2:9" ht="15.75" thickBot="1" x14ac:dyDescent="0.3">
      <c r="B38" s="17">
        <v>36</v>
      </c>
      <c r="C38" s="17" t="s">
        <v>266</v>
      </c>
      <c r="D38" s="17" t="s">
        <v>267</v>
      </c>
      <c r="E38" s="17" t="s">
        <v>268</v>
      </c>
      <c r="F38" s="17" t="s">
        <v>269</v>
      </c>
      <c r="G38" s="17" t="s">
        <v>270</v>
      </c>
      <c r="H38" s="17" t="s">
        <v>271</v>
      </c>
      <c r="I38" s="17" t="s">
        <v>272</v>
      </c>
    </row>
    <row r="39" spans="2:9" ht="15.75" thickBot="1" x14ac:dyDescent="0.3">
      <c r="B39" s="17">
        <v>37</v>
      </c>
      <c r="C39" s="17" t="s">
        <v>273</v>
      </c>
      <c r="D39" s="17" t="s">
        <v>74</v>
      </c>
      <c r="E39" s="17" t="s">
        <v>274</v>
      </c>
      <c r="F39" s="17" t="s">
        <v>275</v>
      </c>
      <c r="G39" s="17" t="s">
        <v>276</v>
      </c>
      <c r="H39" s="17" t="s">
        <v>277</v>
      </c>
      <c r="I39" s="17" t="s">
        <v>278</v>
      </c>
    </row>
    <row r="40" spans="2:9" ht="15.75" thickBot="1" x14ac:dyDescent="0.3">
      <c r="B40" s="17">
        <v>38</v>
      </c>
      <c r="C40" s="17" t="s">
        <v>279</v>
      </c>
      <c r="D40" s="17" t="s">
        <v>280</v>
      </c>
      <c r="E40" s="17" t="s">
        <v>281</v>
      </c>
      <c r="F40" s="17" t="s">
        <v>282</v>
      </c>
      <c r="G40" s="17" t="s">
        <v>283</v>
      </c>
      <c r="H40" s="17" t="s">
        <v>284</v>
      </c>
      <c r="I40" s="17" t="s">
        <v>285</v>
      </c>
    </row>
    <row r="41" spans="2:9" ht="15.75" thickBot="1" x14ac:dyDescent="0.3">
      <c r="B41" s="17">
        <v>39</v>
      </c>
      <c r="C41" s="17" t="s">
        <v>286</v>
      </c>
      <c r="D41" s="17" t="s">
        <v>287</v>
      </c>
      <c r="E41" s="17" t="s">
        <v>288</v>
      </c>
      <c r="F41" s="17" t="s">
        <v>289</v>
      </c>
      <c r="G41" s="17" t="s">
        <v>290</v>
      </c>
      <c r="H41" s="17" t="s">
        <v>291</v>
      </c>
      <c r="I41" s="17" t="s">
        <v>292</v>
      </c>
    </row>
    <row r="42" spans="2:9" ht="15.75" thickBot="1" x14ac:dyDescent="0.3">
      <c r="B42" s="17">
        <v>40</v>
      </c>
      <c r="C42" s="17" t="s">
        <v>293</v>
      </c>
      <c r="D42" s="17" t="s">
        <v>294</v>
      </c>
      <c r="E42" s="17" t="s">
        <v>295</v>
      </c>
      <c r="F42" s="17" t="s">
        <v>296</v>
      </c>
      <c r="G42" s="17" t="s">
        <v>297</v>
      </c>
      <c r="H42" s="17" t="s">
        <v>298</v>
      </c>
      <c r="I42" s="17" t="s">
        <v>299</v>
      </c>
    </row>
    <row r="43" spans="2:9" ht="15.75" thickBot="1" x14ac:dyDescent="0.3">
      <c r="B43" s="17">
        <v>41</v>
      </c>
      <c r="C43" s="17" t="s">
        <v>300</v>
      </c>
      <c r="D43" s="17" t="s">
        <v>301</v>
      </c>
      <c r="E43" s="17" t="s">
        <v>302</v>
      </c>
      <c r="F43" s="17" t="s">
        <v>303</v>
      </c>
      <c r="G43" s="17" t="s">
        <v>304</v>
      </c>
      <c r="H43" s="17" t="s">
        <v>305</v>
      </c>
      <c r="I43" s="17" t="s">
        <v>306</v>
      </c>
    </row>
    <row r="44" spans="2:9" ht="15.75" thickBot="1" x14ac:dyDescent="0.3">
      <c r="B44" s="17">
        <v>42</v>
      </c>
      <c r="C44" s="17" t="s">
        <v>307</v>
      </c>
      <c r="D44" s="17" t="s">
        <v>308</v>
      </c>
      <c r="E44" s="17" t="s">
        <v>309</v>
      </c>
      <c r="F44" s="17" t="s">
        <v>310</v>
      </c>
      <c r="G44" s="17" t="s">
        <v>311</v>
      </c>
      <c r="H44" s="17" t="s">
        <v>312</v>
      </c>
      <c r="I44" s="17" t="s">
        <v>313</v>
      </c>
    </row>
    <row r="45" spans="2:9" ht="15.75" thickBot="1" x14ac:dyDescent="0.3">
      <c r="B45" s="17">
        <v>43</v>
      </c>
      <c r="C45" s="17" t="s">
        <v>314</v>
      </c>
      <c r="D45" s="17" t="s">
        <v>315</v>
      </c>
      <c r="E45" s="17" t="s">
        <v>316</v>
      </c>
      <c r="F45" s="17" t="s">
        <v>317</v>
      </c>
      <c r="G45" s="17" t="s">
        <v>318</v>
      </c>
      <c r="H45" s="17" t="s">
        <v>319</v>
      </c>
      <c r="I45" s="17" t="s">
        <v>320</v>
      </c>
    </row>
    <row r="46" spans="2:9" ht="15.75" thickBot="1" x14ac:dyDescent="0.3">
      <c r="B46" s="17">
        <v>44</v>
      </c>
      <c r="C46" s="17" t="s">
        <v>321</v>
      </c>
      <c r="D46" s="17" t="s">
        <v>322</v>
      </c>
      <c r="E46" s="17" t="s">
        <v>323</v>
      </c>
      <c r="F46" s="17" t="s">
        <v>324</v>
      </c>
      <c r="G46" s="17" t="s">
        <v>72</v>
      </c>
      <c r="H46" s="17" t="s">
        <v>325</v>
      </c>
      <c r="I46" s="17" t="s">
        <v>326</v>
      </c>
    </row>
    <row r="47" spans="2:9" ht="15.75" thickBot="1" x14ac:dyDescent="0.3">
      <c r="B47" s="17">
        <v>45</v>
      </c>
      <c r="C47" s="17" t="s">
        <v>327</v>
      </c>
      <c r="D47" s="17" t="s">
        <v>322</v>
      </c>
      <c r="E47" s="17" t="s">
        <v>109</v>
      </c>
      <c r="F47" s="17" t="s">
        <v>328</v>
      </c>
      <c r="G47" s="17" t="s">
        <v>329</v>
      </c>
      <c r="H47" s="17" t="s">
        <v>330</v>
      </c>
      <c r="I47" s="17" t="s">
        <v>331</v>
      </c>
    </row>
    <row r="48" spans="2:9" ht="15.75" thickBot="1" x14ac:dyDescent="0.3">
      <c r="B48" s="17">
        <v>46</v>
      </c>
      <c r="C48" s="17" t="s">
        <v>332</v>
      </c>
      <c r="D48" s="17" t="s">
        <v>333</v>
      </c>
      <c r="E48" s="17" t="s">
        <v>334</v>
      </c>
      <c r="F48" s="17" t="s">
        <v>335</v>
      </c>
      <c r="G48" s="17" t="s">
        <v>336</v>
      </c>
      <c r="H48" s="17" t="s">
        <v>221</v>
      </c>
      <c r="I48" s="17" t="s">
        <v>337</v>
      </c>
    </row>
    <row r="49" spans="2:9" ht="15.75" thickBot="1" x14ac:dyDescent="0.3">
      <c r="B49" s="17">
        <v>47</v>
      </c>
      <c r="C49" s="17" t="s">
        <v>338</v>
      </c>
      <c r="D49" s="17" t="s">
        <v>131</v>
      </c>
      <c r="E49" s="17" t="s">
        <v>339</v>
      </c>
      <c r="F49" s="17" t="s">
        <v>340</v>
      </c>
      <c r="G49" s="17" t="s">
        <v>341</v>
      </c>
      <c r="H49" s="17" t="s">
        <v>342</v>
      </c>
      <c r="I49" s="17" t="s">
        <v>343</v>
      </c>
    </row>
    <row r="50" spans="2:9" ht="15.75" thickBot="1" x14ac:dyDescent="0.3">
      <c r="B50" s="17">
        <v>48</v>
      </c>
      <c r="C50" s="17" t="s">
        <v>344</v>
      </c>
      <c r="D50" s="17" t="s">
        <v>345</v>
      </c>
      <c r="E50" s="17" t="s">
        <v>346</v>
      </c>
      <c r="F50" s="17" t="s">
        <v>347</v>
      </c>
      <c r="G50" s="17" t="s">
        <v>348</v>
      </c>
      <c r="H50" s="17" t="s">
        <v>349</v>
      </c>
      <c r="I50" s="17" t="s">
        <v>350</v>
      </c>
    </row>
    <row r="51" spans="2:9" ht="15.75" thickBot="1" x14ac:dyDescent="0.3">
      <c r="B51" s="17">
        <v>49</v>
      </c>
      <c r="C51" s="17" t="s">
        <v>351</v>
      </c>
      <c r="D51" s="17" t="s">
        <v>352</v>
      </c>
      <c r="E51" s="17" t="s">
        <v>353</v>
      </c>
      <c r="F51" s="17" t="s">
        <v>354</v>
      </c>
      <c r="G51" s="17" t="s">
        <v>355</v>
      </c>
      <c r="H51" s="17" t="s">
        <v>356</v>
      </c>
      <c r="I51" s="17" t="s">
        <v>357</v>
      </c>
    </row>
    <row r="52" spans="2:9" ht="15.75" thickBot="1" x14ac:dyDescent="0.3">
      <c r="B52" s="17">
        <v>50</v>
      </c>
      <c r="C52" s="17" t="s">
        <v>358</v>
      </c>
      <c r="D52" s="17" t="s">
        <v>359</v>
      </c>
      <c r="E52" s="17" t="s">
        <v>360</v>
      </c>
      <c r="F52" s="17" t="s">
        <v>361</v>
      </c>
      <c r="G52" s="17" t="s">
        <v>362</v>
      </c>
      <c r="H52" s="17" t="s">
        <v>363</v>
      </c>
      <c r="I52" s="17" t="s">
        <v>364</v>
      </c>
    </row>
    <row r="53" spans="2:9" ht="15.75" thickBot="1" x14ac:dyDescent="0.3">
      <c r="B53" s="17">
        <v>51</v>
      </c>
      <c r="C53" s="17" t="s">
        <v>365</v>
      </c>
      <c r="D53" s="17" t="s">
        <v>366</v>
      </c>
      <c r="E53" s="17" t="s">
        <v>367</v>
      </c>
      <c r="F53" s="17" t="s">
        <v>368</v>
      </c>
      <c r="G53" s="17" t="s">
        <v>369</v>
      </c>
      <c r="H53" s="17" t="s">
        <v>370</v>
      </c>
      <c r="I53" s="17" t="s">
        <v>371</v>
      </c>
    </row>
    <row r="54" spans="2:9" ht="15.75" thickBot="1" x14ac:dyDescent="0.3">
      <c r="B54" s="17">
        <v>52</v>
      </c>
      <c r="C54" s="17" t="s">
        <v>372</v>
      </c>
      <c r="D54" s="17" t="s">
        <v>373</v>
      </c>
      <c r="E54" s="17" t="s">
        <v>374</v>
      </c>
      <c r="F54" s="17" t="s">
        <v>256</v>
      </c>
      <c r="G54" s="17" t="s">
        <v>375</v>
      </c>
      <c r="H54" s="17" t="s">
        <v>376</v>
      </c>
      <c r="I54" s="17" t="s">
        <v>377</v>
      </c>
    </row>
    <row r="55" spans="2:9" ht="15.75" thickBot="1" x14ac:dyDescent="0.3">
      <c r="B55" s="17">
        <v>53</v>
      </c>
      <c r="C55" s="17" t="s">
        <v>378</v>
      </c>
      <c r="D55" s="17" t="s">
        <v>379</v>
      </c>
      <c r="E55" s="17" t="s">
        <v>380</v>
      </c>
      <c r="F55" s="17" t="s">
        <v>381</v>
      </c>
      <c r="G55" s="17" t="s">
        <v>382</v>
      </c>
      <c r="H55" s="17" t="s">
        <v>383</v>
      </c>
      <c r="I55" s="17" t="s">
        <v>384</v>
      </c>
    </row>
    <row r="56" spans="2:9" ht="15.75" thickBot="1" x14ac:dyDescent="0.3">
      <c r="B56" s="17">
        <v>54</v>
      </c>
      <c r="C56" s="17" t="s">
        <v>385</v>
      </c>
      <c r="D56" s="17" t="s">
        <v>386</v>
      </c>
      <c r="E56" s="17" t="s">
        <v>387</v>
      </c>
      <c r="F56" s="17" t="s">
        <v>388</v>
      </c>
      <c r="G56" s="17" t="s">
        <v>389</v>
      </c>
      <c r="H56" s="17" t="s">
        <v>390</v>
      </c>
      <c r="I56" s="17" t="s">
        <v>391</v>
      </c>
    </row>
    <row r="57" spans="2:9" ht="15.75" thickBot="1" x14ac:dyDescent="0.3">
      <c r="B57" s="17">
        <v>55</v>
      </c>
      <c r="C57" s="17" t="s">
        <v>392</v>
      </c>
      <c r="D57" s="17" t="s">
        <v>393</v>
      </c>
      <c r="E57" s="17" t="s">
        <v>394</v>
      </c>
      <c r="F57" s="17" t="s">
        <v>395</v>
      </c>
      <c r="G57" s="17" t="s">
        <v>396</v>
      </c>
      <c r="H57" s="17" t="s">
        <v>397</v>
      </c>
      <c r="I57" s="17" t="s">
        <v>398</v>
      </c>
    </row>
    <row r="58" spans="2:9" ht="15.75" thickBot="1" x14ac:dyDescent="0.3">
      <c r="B58" s="17">
        <v>56</v>
      </c>
      <c r="C58" s="17" t="s">
        <v>105</v>
      </c>
      <c r="D58" s="17" t="s">
        <v>399</v>
      </c>
      <c r="E58" s="17" t="s">
        <v>400</v>
      </c>
      <c r="F58" s="17" t="s">
        <v>401</v>
      </c>
      <c r="G58" s="17" t="s">
        <v>402</v>
      </c>
      <c r="H58" s="17" t="s">
        <v>403</v>
      </c>
      <c r="I58" s="17" t="s">
        <v>404</v>
      </c>
    </row>
    <row r="59" spans="2:9" ht="15.75" thickBot="1" x14ac:dyDescent="0.3">
      <c r="B59" s="17">
        <v>57</v>
      </c>
      <c r="C59" s="17" t="s">
        <v>405</v>
      </c>
      <c r="D59" s="17" t="s">
        <v>399</v>
      </c>
      <c r="E59" s="17" t="s">
        <v>136</v>
      </c>
      <c r="F59" s="17" t="s">
        <v>406</v>
      </c>
      <c r="G59" s="17" t="s">
        <v>407</v>
      </c>
      <c r="H59" s="17" t="s">
        <v>408</v>
      </c>
      <c r="I59" s="17" t="s">
        <v>409</v>
      </c>
    </row>
    <row r="60" spans="2:9" ht="15.75" thickBot="1" x14ac:dyDescent="0.3">
      <c r="B60" s="17">
        <v>58</v>
      </c>
      <c r="C60" s="17" t="s">
        <v>410</v>
      </c>
      <c r="D60" s="17" t="s">
        <v>411</v>
      </c>
      <c r="E60" s="17" t="s">
        <v>412</v>
      </c>
      <c r="F60" s="17" t="s">
        <v>413</v>
      </c>
      <c r="G60" s="17" t="s">
        <v>336</v>
      </c>
      <c r="H60" s="17" t="s">
        <v>414</v>
      </c>
      <c r="I60" s="17" t="s">
        <v>415</v>
      </c>
    </row>
    <row r="61" spans="2:9" ht="15.75" thickBot="1" x14ac:dyDescent="0.3">
      <c r="B61" s="17">
        <v>59</v>
      </c>
      <c r="C61" s="17" t="s">
        <v>416</v>
      </c>
      <c r="D61" s="17" t="s">
        <v>417</v>
      </c>
      <c r="E61" s="17" t="s">
        <v>157</v>
      </c>
      <c r="F61" s="17" t="s">
        <v>418</v>
      </c>
      <c r="G61" s="17" t="s">
        <v>419</v>
      </c>
      <c r="H61" s="17" t="s">
        <v>420</v>
      </c>
      <c r="I61" s="17" t="s">
        <v>421</v>
      </c>
    </row>
    <row r="62" spans="2:9" ht="15.75" thickBot="1" x14ac:dyDescent="0.3">
      <c r="B62" s="17">
        <v>60</v>
      </c>
      <c r="C62" s="17" t="s">
        <v>422</v>
      </c>
      <c r="D62" s="17" t="s">
        <v>423</v>
      </c>
      <c r="E62" s="17" t="s">
        <v>424</v>
      </c>
      <c r="F62" s="17" t="s">
        <v>425</v>
      </c>
      <c r="G62" s="17" t="s">
        <v>426</v>
      </c>
      <c r="H62" s="17" t="s">
        <v>427</v>
      </c>
      <c r="I62" s="17" t="s">
        <v>428</v>
      </c>
    </row>
    <row r="63" spans="2:9" ht="15.75" thickBot="1" x14ac:dyDescent="0.3">
      <c r="B63" s="17">
        <v>61</v>
      </c>
      <c r="C63" s="17" t="s">
        <v>429</v>
      </c>
      <c r="D63" s="17" t="s">
        <v>430</v>
      </c>
      <c r="E63" s="17" t="s">
        <v>414</v>
      </c>
      <c r="F63" s="17" t="s">
        <v>431</v>
      </c>
      <c r="G63" s="17" t="s">
        <v>432</v>
      </c>
      <c r="H63" s="17" t="s">
        <v>433</v>
      </c>
      <c r="I63" s="17" t="s">
        <v>434</v>
      </c>
    </row>
    <row r="64" spans="2:9" ht="15.75" thickBot="1" x14ac:dyDescent="0.3">
      <c r="B64" s="17">
        <v>62</v>
      </c>
      <c r="C64" s="17" t="s">
        <v>435</v>
      </c>
      <c r="D64" s="17" t="s">
        <v>436</v>
      </c>
      <c r="E64" s="17" t="s">
        <v>437</v>
      </c>
      <c r="F64" s="17" t="s">
        <v>438</v>
      </c>
      <c r="G64" s="17">
        <v>2</v>
      </c>
      <c r="H64" s="17" t="s">
        <v>439</v>
      </c>
      <c r="I64" s="17" t="s">
        <v>440</v>
      </c>
    </row>
    <row r="65" spans="2:9" ht="15.75" thickBot="1" x14ac:dyDescent="0.3">
      <c r="B65" s="17">
        <v>63</v>
      </c>
      <c r="C65" s="17" t="s">
        <v>441</v>
      </c>
      <c r="D65" s="17" t="s">
        <v>442</v>
      </c>
      <c r="E65" s="17" t="s">
        <v>443</v>
      </c>
      <c r="F65" s="17" t="s">
        <v>444</v>
      </c>
      <c r="G65" s="17" t="s">
        <v>323</v>
      </c>
      <c r="H65" s="17" t="s">
        <v>445</v>
      </c>
      <c r="I65" s="17" t="s">
        <v>446</v>
      </c>
    </row>
    <row r="66" spans="2:9" ht="15.75" thickBot="1" x14ac:dyDescent="0.3">
      <c r="B66" s="17">
        <v>64</v>
      </c>
      <c r="C66" s="17" t="s">
        <v>447</v>
      </c>
      <c r="D66" s="17" t="s">
        <v>448</v>
      </c>
      <c r="E66" s="17" t="s">
        <v>449</v>
      </c>
      <c r="F66" s="17" t="s">
        <v>450</v>
      </c>
      <c r="G66" s="17" t="s">
        <v>451</v>
      </c>
      <c r="H66" s="17" t="s">
        <v>452</v>
      </c>
      <c r="I66" s="17" t="s">
        <v>453</v>
      </c>
    </row>
    <row r="67" spans="2:9" ht="15.75" thickBot="1" x14ac:dyDescent="0.3">
      <c r="B67" s="17">
        <v>65</v>
      </c>
      <c r="C67" s="17" t="s">
        <v>454</v>
      </c>
      <c r="D67" s="17" t="s">
        <v>455</v>
      </c>
      <c r="E67" s="17" t="s">
        <v>456</v>
      </c>
      <c r="F67" s="17" t="s">
        <v>163</v>
      </c>
      <c r="G67" s="17" t="s">
        <v>457</v>
      </c>
      <c r="H67" s="17" t="s">
        <v>458</v>
      </c>
      <c r="I67" s="17" t="s">
        <v>459</v>
      </c>
    </row>
    <row r="68" spans="2:9" ht="15.75" thickBot="1" x14ac:dyDescent="0.3">
      <c r="B68" s="17">
        <v>66</v>
      </c>
      <c r="C68" s="17" t="s">
        <v>460</v>
      </c>
      <c r="D68" s="17" t="s">
        <v>129</v>
      </c>
      <c r="E68" s="17" t="s">
        <v>461</v>
      </c>
      <c r="F68" s="17" t="s">
        <v>462</v>
      </c>
      <c r="G68" s="17" t="s">
        <v>463</v>
      </c>
      <c r="H68" s="17" t="s">
        <v>464</v>
      </c>
      <c r="I68" s="17" t="s">
        <v>465</v>
      </c>
    </row>
    <row r="69" spans="2:9" ht="15.75" thickBot="1" x14ac:dyDescent="0.3">
      <c r="B69" s="17">
        <v>67</v>
      </c>
      <c r="C69" s="17" t="s">
        <v>466</v>
      </c>
      <c r="D69" s="17" t="s">
        <v>467</v>
      </c>
      <c r="E69" s="17" t="s">
        <v>468</v>
      </c>
      <c r="F69" s="17" t="s">
        <v>190</v>
      </c>
      <c r="G69" s="17" t="s">
        <v>469</v>
      </c>
      <c r="H69" s="17" t="s">
        <v>470</v>
      </c>
      <c r="I69" s="17" t="s">
        <v>471</v>
      </c>
    </row>
    <row r="70" spans="2:9" ht="15.75" thickBot="1" x14ac:dyDescent="0.3">
      <c r="B70" s="17">
        <v>68</v>
      </c>
      <c r="C70" s="17" t="s">
        <v>472</v>
      </c>
      <c r="D70" s="17" t="s">
        <v>473</v>
      </c>
      <c r="E70" s="17" t="s">
        <v>474</v>
      </c>
      <c r="F70" s="17" t="s">
        <v>475</v>
      </c>
      <c r="G70" s="17" t="s">
        <v>476</v>
      </c>
      <c r="H70" s="17" t="s">
        <v>477</v>
      </c>
      <c r="I70" s="17" t="s">
        <v>478</v>
      </c>
    </row>
    <row r="71" spans="2:9" ht="15.75" thickBot="1" x14ac:dyDescent="0.3">
      <c r="B71" s="17">
        <v>69</v>
      </c>
      <c r="C71" s="17" t="s">
        <v>479</v>
      </c>
      <c r="D71" s="17" t="s">
        <v>480</v>
      </c>
      <c r="E71" s="17" t="s">
        <v>481</v>
      </c>
      <c r="F71" s="17" t="s">
        <v>482</v>
      </c>
      <c r="G71" s="17" t="s">
        <v>483</v>
      </c>
      <c r="H71" s="17" t="s">
        <v>484</v>
      </c>
      <c r="I71" s="17" t="s">
        <v>485</v>
      </c>
    </row>
    <row r="72" spans="2:9" ht="15.75" thickBot="1" x14ac:dyDescent="0.3">
      <c r="B72" s="17">
        <v>70</v>
      </c>
      <c r="C72" s="17" t="s">
        <v>486</v>
      </c>
      <c r="D72" s="17" t="s">
        <v>487</v>
      </c>
      <c r="E72" s="17" t="s">
        <v>488</v>
      </c>
      <c r="F72" s="17" t="s">
        <v>489</v>
      </c>
      <c r="G72" s="17" t="s">
        <v>37</v>
      </c>
      <c r="H72" s="17" t="s">
        <v>490</v>
      </c>
      <c r="I72" s="17" t="s">
        <v>491</v>
      </c>
    </row>
    <row r="73" spans="2:9" ht="15.75" thickBot="1" x14ac:dyDescent="0.3">
      <c r="B73" s="17">
        <v>71</v>
      </c>
      <c r="C73" s="17" t="s">
        <v>492</v>
      </c>
      <c r="D73" s="17" t="s">
        <v>122</v>
      </c>
      <c r="E73" s="17" t="s">
        <v>268</v>
      </c>
      <c r="F73" s="17" t="s">
        <v>493</v>
      </c>
      <c r="G73" s="17" t="s">
        <v>494</v>
      </c>
      <c r="H73" s="17" t="s">
        <v>495</v>
      </c>
      <c r="I73" s="17" t="s">
        <v>496</v>
      </c>
    </row>
    <row r="74" spans="2:9" ht="15.75" thickBot="1" x14ac:dyDescent="0.3">
      <c r="B74" s="17">
        <v>72</v>
      </c>
      <c r="C74" s="17" t="s">
        <v>497</v>
      </c>
      <c r="D74" s="17" t="s">
        <v>498</v>
      </c>
      <c r="E74" s="17" t="s">
        <v>499</v>
      </c>
      <c r="F74" s="17" t="s">
        <v>500</v>
      </c>
      <c r="G74" s="17">
        <v>74</v>
      </c>
      <c r="H74" s="17" t="s">
        <v>501</v>
      </c>
      <c r="I74" s="17" t="s">
        <v>502</v>
      </c>
    </row>
    <row r="75" spans="2:9" ht="15.75" thickBot="1" x14ac:dyDescent="0.3">
      <c r="B75" s="17">
        <v>73</v>
      </c>
      <c r="C75" s="17" t="s">
        <v>503</v>
      </c>
      <c r="D75" s="17" t="s">
        <v>504</v>
      </c>
      <c r="E75" s="17" t="s">
        <v>505</v>
      </c>
      <c r="F75" s="17" t="s">
        <v>506</v>
      </c>
      <c r="G75" s="17" t="s">
        <v>507</v>
      </c>
      <c r="H75" s="17" t="s">
        <v>508</v>
      </c>
      <c r="I75" s="17" t="s">
        <v>509</v>
      </c>
    </row>
    <row r="76" spans="2:9" ht="15.75" thickBot="1" x14ac:dyDescent="0.3">
      <c r="B76" s="17">
        <v>74</v>
      </c>
      <c r="C76" s="17" t="s">
        <v>510</v>
      </c>
      <c r="D76" s="17" t="s">
        <v>102</v>
      </c>
      <c r="E76" s="17" t="s">
        <v>511</v>
      </c>
      <c r="F76" s="17" t="s">
        <v>512</v>
      </c>
      <c r="G76" s="17" t="s">
        <v>513</v>
      </c>
      <c r="H76" s="17" t="s">
        <v>464</v>
      </c>
      <c r="I76" s="17" t="s">
        <v>514</v>
      </c>
    </row>
    <row r="77" spans="2:9" ht="15.75" thickBot="1" x14ac:dyDescent="0.3">
      <c r="B77" s="17">
        <v>75</v>
      </c>
      <c r="C77" s="17" t="s">
        <v>515</v>
      </c>
      <c r="D77" s="17" t="s">
        <v>142</v>
      </c>
      <c r="E77" s="17" t="s">
        <v>424</v>
      </c>
      <c r="F77" s="17" t="s">
        <v>516</v>
      </c>
      <c r="G77" s="17" t="s">
        <v>517</v>
      </c>
      <c r="H77" s="17" t="s">
        <v>518</v>
      </c>
      <c r="I77" s="17" t="s">
        <v>519</v>
      </c>
    </row>
    <row r="78" spans="2:9" ht="15.75" thickBot="1" x14ac:dyDescent="0.3">
      <c r="B78" s="17">
        <v>76</v>
      </c>
      <c r="C78" s="17" t="s">
        <v>520</v>
      </c>
      <c r="D78" s="17" t="s">
        <v>521</v>
      </c>
      <c r="E78" s="17" t="s">
        <v>522</v>
      </c>
      <c r="F78" s="17" t="s">
        <v>368</v>
      </c>
      <c r="G78" s="17" t="s">
        <v>523</v>
      </c>
      <c r="H78" s="17" t="s">
        <v>524</v>
      </c>
      <c r="I78" s="17" t="s">
        <v>525</v>
      </c>
    </row>
    <row r="79" spans="2:9" ht="15.75" thickBot="1" x14ac:dyDescent="0.3">
      <c r="B79" s="17">
        <v>77</v>
      </c>
      <c r="C79" s="17" t="s">
        <v>526</v>
      </c>
      <c r="D79" s="17" t="s">
        <v>527</v>
      </c>
      <c r="E79" s="17" t="s">
        <v>528</v>
      </c>
      <c r="F79" s="17" t="s">
        <v>442</v>
      </c>
      <c r="G79" s="17" t="s">
        <v>529</v>
      </c>
      <c r="H79" s="17" t="s">
        <v>530</v>
      </c>
      <c r="I79" s="17" t="s">
        <v>531</v>
      </c>
    </row>
    <row r="80" spans="2:9" ht="15.75" thickBot="1" x14ac:dyDescent="0.3">
      <c r="B80" s="17">
        <v>78</v>
      </c>
      <c r="C80" s="17" t="s">
        <v>532</v>
      </c>
      <c r="D80" s="17" t="s">
        <v>533</v>
      </c>
      <c r="E80" s="17" t="s">
        <v>534</v>
      </c>
      <c r="F80" s="17" t="s">
        <v>535</v>
      </c>
      <c r="G80" s="17" t="s">
        <v>436</v>
      </c>
      <c r="H80" s="17" t="s">
        <v>536</v>
      </c>
      <c r="I80" s="17" t="s">
        <v>537</v>
      </c>
    </row>
    <row r="81" spans="2:9" ht="15.75" thickBot="1" x14ac:dyDescent="0.3">
      <c r="B81" s="17">
        <v>79</v>
      </c>
      <c r="C81" s="17" t="s">
        <v>538</v>
      </c>
      <c r="D81" s="17" t="s">
        <v>295</v>
      </c>
      <c r="E81" s="17" t="s">
        <v>539</v>
      </c>
      <c r="F81" s="17" t="s">
        <v>540</v>
      </c>
      <c r="G81" s="17" t="s">
        <v>541</v>
      </c>
      <c r="H81" s="17" t="s">
        <v>542</v>
      </c>
      <c r="I81" s="17" t="s">
        <v>543</v>
      </c>
    </row>
    <row r="82" spans="2:9" ht="15.75" thickBot="1" x14ac:dyDescent="0.3">
      <c r="B82" s="17">
        <v>80</v>
      </c>
      <c r="C82" s="17" t="s">
        <v>544</v>
      </c>
      <c r="D82" s="17" t="s">
        <v>295</v>
      </c>
      <c r="E82" s="17" t="s">
        <v>545</v>
      </c>
      <c r="F82" s="17" t="s">
        <v>546</v>
      </c>
      <c r="G82" s="17" t="s">
        <v>547</v>
      </c>
      <c r="H82" s="17" t="s">
        <v>548</v>
      </c>
      <c r="I82" s="17" t="s">
        <v>549</v>
      </c>
    </row>
    <row r="83" spans="2:9" ht="15.75" thickBot="1" x14ac:dyDescent="0.3">
      <c r="B83" s="17">
        <v>81</v>
      </c>
      <c r="C83" s="17" t="s">
        <v>550</v>
      </c>
      <c r="D83" s="17" t="s">
        <v>162</v>
      </c>
      <c r="E83" s="17" t="s">
        <v>551</v>
      </c>
      <c r="F83" s="17" t="s">
        <v>552</v>
      </c>
      <c r="G83" s="17" t="s">
        <v>553</v>
      </c>
      <c r="H83" s="17" t="s">
        <v>554</v>
      </c>
      <c r="I83" s="17" t="s">
        <v>555</v>
      </c>
    </row>
    <row r="84" spans="2:9" ht="15.75" thickBot="1" x14ac:dyDescent="0.3">
      <c r="B84" s="17">
        <v>82</v>
      </c>
      <c r="C84" s="17" t="s">
        <v>556</v>
      </c>
      <c r="D84" s="17" t="s">
        <v>557</v>
      </c>
      <c r="E84" s="17" t="s">
        <v>558</v>
      </c>
      <c r="F84" s="17" t="s">
        <v>559</v>
      </c>
      <c r="G84" s="17" t="s">
        <v>32</v>
      </c>
      <c r="H84" s="17" t="s">
        <v>560</v>
      </c>
      <c r="I84" s="17" t="s">
        <v>561</v>
      </c>
    </row>
    <row r="85" spans="2:9" ht="15.75" thickBot="1" x14ac:dyDescent="0.3">
      <c r="B85" s="17">
        <v>83</v>
      </c>
      <c r="C85" s="17" t="s">
        <v>562</v>
      </c>
      <c r="D85" s="17" t="s">
        <v>563</v>
      </c>
      <c r="E85" s="17" t="s">
        <v>564</v>
      </c>
      <c r="F85" s="17" t="s">
        <v>565</v>
      </c>
      <c r="G85" s="17" t="s">
        <v>566</v>
      </c>
      <c r="H85" s="17" t="s">
        <v>567</v>
      </c>
      <c r="I85" s="17" t="s">
        <v>568</v>
      </c>
    </row>
    <row r="86" spans="2:9" ht="15.75" thickBot="1" x14ac:dyDescent="0.3">
      <c r="B86" s="17">
        <v>84</v>
      </c>
      <c r="C86" s="17" t="s">
        <v>569</v>
      </c>
      <c r="D86" s="17" t="s">
        <v>570</v>
      </c>
      <c r="E86" s="17" t="s">
        <v>353</v>
      </c>
      <c r="F86" s="17" t="s">
        <v>571</v>
      </c>
      <c r="G86" s="17" t="s">
        <v>572</v>
      </c>
      <c r="H86" s="17" t="s">
        <v>96</v>
      </c>
      <c r="I86" s="17" t="s">
        <v>573</v>
      </c>
    </row>
    <row r="87" spans="2:9" ht="15.75" thickBot="1" x14ac:dyDescent="0.3">
      <c r="B87" s="17">
        <v>85</v>
      </c>
      <c r="C87" s="17" t="s">
        <v>574</v>
      </c>
      <c r="D87" s="17" t="s">
        <v>575</v>
      </c>
      <c r="E87" s="17" t="s">
        <v>576</v>
      </c>
      <c r="F87" s="17" t="s">
        <v>577</v>
      </c>
      <c r="G87" s="17" t="s">
        <v>578</v>
      </c>
      <c r="H87" s="17" t="s">
        <v>579</v>
      </c>
      <c r="I87" s="17" t="s">
        <v>580</v>
      </c>
    </row>
    <row r="88" spans="2:9" ht="15.75" thickBot="1" x14ac:dyDescent="0.3">
      <c r="B88" s="17">
        <v>86</v>
      </c>
      <c r="C88" s="17" t="s">
        <v>581</v>
      </c>
      <c r="D88" s="17" t="s">
        <v>582</v>
      </c>
      <c r="E88" s="17" t="s">
        <v>583</v>
      </c>
      <c r="F88" s="17" t="s">
        <v>584</v>
      </c>
      <c r="G88" s="17" t="s">
        <v>585</v>
      </c>
      <c r="H88" s="17" t="s">
        <v>586</v>
      </c>
      <c r="I88" s="17" t="s">
        <v>587</v>
      </c>
    </row>
    <row r="89" spans="2:9" ht="15.75" thickBot="1" x14ac:dyDescent="0.3">
      <c r="B89" s="17">
        <v>87</v>
      </c>
      <c r="C89" s="17" t="s">
        <v>588</v>
      </c>
      <c r="D89" s="17" t="s">
        <v>589</v>
      </c>
      <c r="E89" s="17" t="s">
        <v>590</v>
      </c>
      <c r="F89" s="17" t="s">
        <v>185</v>
      </c>
      <c r="G89" s="17" t="s">
        <v>591</v>
      </c>
      <c r="H89" s="17" t="s">
        <v>506</v>
      </c>
      <c r="I89" s="17" t="s">
        <v>592</v>
      </c>
    </row>
    <row r="90" spans="2:9" ht="15.75" thickBot="1" x14ac:dyDescent="0.3">
      <c r="B90" s="17">
        <v>88</v>
      </c>
      <c r="C90" s="17" t="s">
        <v>593</v>
      </c>
      <c r="D90" s="17" t="s">
        <v>594</v>
      </c>
      <c r="E90" s="17" t="s">
        <v>595</v>
      </c>
      <c r="F90" s="17" t="s">
        <v>596</v>
      </c>
      <c r="G90" s="17" t="s">
        <v>597</v>
      </c>
      <c r="H90" s="17" t="s">
        <v>598</v>
      </c>
      <c r="I90" s="17" t="s">
        <v>599</v>
      </c>
    </row>
    <row r="91" spans="2:9" ht="15.75" thickBot="1" x14ac:dyDescent="0.3">
      <c r="B91" s="17">
        <v>89</v>
      </c>
      <c r="C91" s="17" t="s">
        <v>600</v>
      </c>
      <c r="D91" s="17" t="s">
        <v>505</v>
      </c>
      <c r="E91" s="17" t="s">
        <v>39</v>
      </c>
      <c r="F91" s="17" t="s">
        <v>601</v>
      </c>
      <c r="G91" s="17" t="s">
        <v>602</v>
      </c>
      <c r="H91" s="17" t="s">
        <v>603</v>
      </c>
      <c r="I91" s="17" t="s">
        <v>604</v>
      </c>
    </row>
    <row r="92" spans="2:9" ht="15.75" thickBot="1" x14ac:dyDescent="0.3">
      <c r="B92" s="17">
        <v>90</v>
      </c>
      <c r="C92" s="17" t="s">
        <v>605</v>
      </c>
      <c r="D92" s="17" t="s">
        <v>606</v>
      </c>
      <c r="E92" s="17" t="s">
        <v>607</v>
      </c>
      <c r="F92" s="17" t="s">
        <v>608</v>
      </c>
      <c r="G92" s="17" t="s">
        <v>609</v>
      </c>
      <c r="H92" s="17" t="s">
        <v>610</v>
      </c>
      <c r="I92" s="17" t="s">
        <v>611</v>
      </c>
    </row>
    <row r="93" spans="2:9" ht="15.75" thickBot="1" x14ac:dyDescent="0.3">
      <c r="B93" s="17">
        <v>91</v>
      </c>
      <c r="C93" s="17" t="s">
        <v>612</v>
      </c>
      <c r="D93" s="17" t="s">
        <v>606</v>
      </c>
      <c r="E93" s="17" t="s">
        <v>274</v>
      </c>
      <c r="F93" s="17" t="s">
        <v>613</v>
      </c>
      <c r="G93" s="17" t="s">
        <v>614</v>
      </c>
      <c r="H93" s="17" t="s">
        <v>615</v>
      </c>
      <c r="I93" s="17" t="s">
        <v>616</v>
      </c>
    </row>
    <row r="94" spans="2:9" ht="15.75" thickBot="1" x14ac:dyDescent="0.3">
      <c r="B94" s="17">
        <v>92</v>
      </c>
      <c r="C94" s="17" t="s">
        <v>617</v>
      </c>
      <c r="D94" s="17" t="s">
        <v>261</v>
      </c>
      <c r="E94" s="17" t="s">
        <v>618</v>
      </c>
      <c r="F94" s="17" t="s">
        <v>619</v>
      </c>
      <c r="G94" s="17" t="s">
        <v>620</v>
      </c>
      <c r="H94" s="17" t="s">
        <v>621</v>
      </c>
      <c r="I94" s="17" t="s">
        <v>622</v>
      </c>
    </row>
    <row r="95" spans="2:9" ht="15.75" thickBot="1" x14ac:dyDescent="0.3">
      <c r="B95" s="17">
        <v>93</v>
      </c>
      <c r="C95" s="17" t="s">
        <v>623</v>
      </c>
      <c r="D95" s="17" t="s">
        <v>261</v>
      </c>
      <c r="E95" s="17" t="s">
        <v>570</v>
      </c>
      <c r="F95" s="17" t="s">
        <v>624</v>
      </c>
      <c r="G95" s="17" t="s">
        <v>625</v>
      </c>
      <c r="H95" s="17" t="s">
        <v>30</v>
      </c>
      <c r="I95" s="17" t="s">
        <v>626</v>
      </c>
    </row>
    <row r="96" spans="2:9" ht="15.75" thickBot="1" x14ac:dyDescent="0.3">
      <c r="B96" s="17">
        <v>94</v>
      </c>
      <c r="C96" s="17" t="s">
        <v>627</v>
      </c>
      <c r="D96" s="17" t="s">
        <v>628</v>
      </c>
      <c r="E96" s="17" t="s">
        <v>629</v>
      </c>
      <c r="F96" s="17" t="s">
        <v>630</v>
      </c>
      <c r="G96" s="17" t="s">
        <v>353</v>
      </c>
      <c r="H96" s="17" t="s">
        <v>631</v>
      </c>
      <c r="I96" s="17" t="s">
        <v>632</v>
      </c>
    </row>
    <row r="97" spans="2:9" ht="15.75" thickBot="1" x14ac:dyDescent="0.3">
      <c r="B97" s="17">
        <v>95</v>
      </c>
      <c r="C97" s="17" t="s">
        <v>633</v>
      </c>
      <c r="D97" s="17" t="s">
        <v>136</v>
      </c>
      <c r="E97" s="17" t="s">
        <v>634</v>
      </c>
      <c r="F97" s="17" t="s">
        <v>635</v>
      </c>
      <c r="G97" s="17" t="s">
        <v>636</v>
      </c>
      <c r="H97" s="17" t="s">
        <v>637</v>
      </c>
      <c r="I97" s="17" t="s">
        <v>638</v>
      </c>
    </row>
    <row r="98" spans="2:9" ht="15.75" thickBot="1" x14ac:dyDescent="0.3">
      <c r="B98" s="17">
        <v>96</v>
      </c>
      <c r="C98" s="17" t="s">
        <v>639</v>
      </c>
      <c r="D98" s="17" t="s">
        <v>640</v>
      </c>
      <c r="E98" s="17" t="s">
        <v>461</v>
      </c>
      <c r="F98" s="17" t="s">
        <v>641</v>
      </c>
      <c r="G98" s="17" t="s">
        <v>135</v>
      </c>
      <c r="H98" s="17" t="s">
        <v>642</v>
      </c>
      <c r="I98" s="17" t="s">
        <v>643</v>
      </c>
    </row>
    <row r="99" spans="2:9" ht="15.75" thickBot="1" x14ac:dyDescent="0.3">
      <c r="B99" s="17">
        <v>97</v>
      </c>
      <c r="C99" s="17" t="s">
        <v>644</v>
      </c>
      <c r="D99" s="17" t="s">
        <v>640</v>
      </c>
      <c r="E99" s="17" t="s">
        <v>645</v>
      </c>
      <c r="F99" s="17" t="s">
        <v>646</v>
      </c>
      <c r="G99" s="17" t="s">
        <v>32</v>
      </c>
      <c r="H99" s="17" t="s">
        <v>647</v>
      </c>
      <c r="I99" s="17" t="s">
        <v>648</v>
      </c>
    </row>
    <row r="100" spans="2:9" ht="15.75" thickBot="1" x14ac:dyDescent="0.3">
      <c r="B100" s="17">
        <v>98</v>
      </c>
      <c r="C100" s="17" t="s">
        <v>649</v>
      </c>
      <c r="D100" s="17" t="s">
        <v>650</v>
      </c>
      <c r="E100" s="17" t="s">
        <v>37</v>
      </c>
      <c r="F100" s="17" t="s">
        <v>651</v>
      </c>
      <c r="G100" s="17" t="s">
        <v>652</v>
      </c>
      <c r="H100" s="17" t="s">
        <v>653</v>
      </c>
      <c r="I100" s="17" t="s">
        <v>654</v>
      </c>
    </row>
    <row r="101" spans="2:9" ht="15.75" thickBot="1" x14ac:dyDescent="0.3">
      <c r="B101" s="17">
        <v>99</v>
      </c>
      <c r="C101" s="17" t="s">
        <v>655</v>
      </c>
      <c r="D101" s="17" t="s">
        <v>656</v>
      </c>
      <c r="E101" s="17" t="s">
        <v>657</v>
      </c>
      <c r="F101" s="17" t="s">
        <v>658</v>
      </c>
      <c r="G101" s="17" t="s">
        <v>659</v>
      </c>
      <c r="H101" s="17" t="s">
        <v>660</v>
      </c>
      <c r="I101" s="17" t="s">
        <v>661</v>
      </c>
    </row>
    <row r="102" spans="2:9" ht="15.75" thickBot="1" x14ac:dyDescent="0.3">
      <c r="B102" s="17">
        <v>100</v>
      </c>
      <c r="C102" s="17" t="s">
        <v>662</v>
      </c>
      <c r="D102" s="17" t="s">
        <v>663</v>
      </c>
      <c r="E102" s="17" t="s">
        <v>352</v>
      </c>
      <c r="F102" s="17" t="s">
        <v>629</v>
      </c>
      <c r="G102" s="17" t="s">
        <v>625</v>
      </c>
      <c r="H102" s="17" t="s">
        <v>664</v>
      </c>
      <c r="I102" s="17" t="s">
        <v>665</v>
      </c>
    </row>
    <row r="103" spans="2:9" ht="15.75" thickBot="1" x14ac:dyDescent="0.3">
      <c r="B103" s="17">
        <v>101</v>
      </c>
      <c r="C103" s="17" t="s">
        <v>666</v>
      </c>
      <c r="D103" s="17" t="s">
        <v>667</v>
      </c>
      <c r="E103" s="17" t="s">
        <v>323</v>
      </c>
      <c r="F103" s="17" t="s">
        <v>668</v>
      </c>
      <c r="G103" s="17" t="s">
        <v>669</v>
      </c>
      <c r="H103" s="17" t="s">
        <v>670</v>
      </c>
      <c r="I103" s="17" t="s">
        <v>671</v>
      </c>
    </row>
    <row r="104" spans="2:9" ht="15.75" thickBot="1" x14ac:dyDescent="0.3">
      <c r="B104" s="17">
        <v>102</v>
      </c>
      <c r="C104" s="17" t="s">
        <v>672</v>
      </c>
      <c r="D104" s="17" t="s">
        <v>673</v>
      </c>
      <c r="E104" s="17" t="s">
        <v>674</v>
      </c>
      <c r="F104" s="17" t="s">
        <v>412</v>
      </c>
      <c r="G104" s="17" t="s">
        <v>675</v>
      </c>
      <c r="H104" s="17" t="s">
        <v>676</v>
      </c>
      <c r="I104" s="17" t="s">
        <v>677</v>
      </c>
    </row>
    <row r="105" spans="2:9" ht="15.75" thickBot="1" x14ac:dyDescent="0.3">
      <c r="B105" s="17">
        <v>103</v>
      </c>
      <c r="C105" s="17" t="s">
        <v>678</v>
      </c>
      <c r="D105" s="17" t="s">
        <v>679</v>
      </c>
      <c r="E105" s="17" t="s">
        <v>387</v>
      </c>
      <c r="F105" s="17" t="s">
        <v>680</v>
      </c>
      <c r="G105" s="17" t="s">
        <v>468</v>
      </c>
      <c r="H105" s="17" t="s">
        <v>681</v>
      </c>
      <c r="I105" s="17" t="s">
        <v>682</v>
      </c>
    </row>
    <row r="106" spans="2:9" ht="15.75" thickBot="1" x14ac:dyDescent="0.3">
      <c r="B106" s="17">
        <v>104</v>
      </c>
      <c r="C106" s="17" t="s">
        <v>683</v>
      </c>
      <c r="D106" s="17" t="s">
        <v>684</v>
      </c>
      <c r="E106" s="17" t="s">
        <v>685</v>
      </c>
      <c r="F106" s="17" t="s">
        <v>686</v>
      </c>
      <c r="G106" s="17" t="s">
        <v>687</v>
      </c>
      <c r="H106" s="17" t="s">
        <v>688</v>
      </c>
      <c r="I106" s="17" t="s">
        <v>689</v>
      </c>
    </row>
    <row r="107" spans="2:9" ht="15.75" thickBot="1" x14ac:dyDescent="0.3">
      <c r="B107" s="17">
        <v>105</v>
      </c>
      <c r="C107" s="17" t="s">
        <v>690</v>
      </c>
      <c r="D107" s="17" t="s">
        <v>684</v>
      </c>
      <c r="E107" s="17" t="s">
        <v>691</v>
      </c>
      <c r="F107" s="17" t="s">
        <v>692</v>
      </c>
      <c r="G107" s="17" t="s">
        <v>693</v>
      </c>
      <c r="H107" s="17" t="s">
        <v>694</v>
      </c>
      <c r="I107" s="17" t="s">
        <v>695</v>
      </c>
    </row>
    <row r="108" spans="2:9" ht="15.75" thickBot="1" x14ac:dyDescent="0.3">
      <c r="B108" s="17">
        <v>106</v>
      </c>
      <c r="C108" s="17" t="s">
        <v>696</v>
      </c>
      <c r="D108" s="17" t="s">
        <v>634</v>
      </c>
      <c r="E108" s="17" t="s">
        <v>697</v>
      </c>
      <c r="F108" s="17" t="s">
        <v>692</v>
      </c>
      <c r="G108" s="17" t="s">
        <v>698</v>
      </c>
      <c r="H108" s="17" t="s">
        <v>699</v>
      </c>
      <c r="I108" s="17" t="s">
        <v>700</v>
      </c>
    </row>
    <row r="109" spans="2:9" ht="15.75" thickBot="1" x14ac:dyDescent="0.3">
      <c r="B109" s="17">
        <v>107</v>
      </c>
      <c r="C109" s="17" t="s">
        <v>701</v>
      </c>
      <c r="D109" s="17" t="s">
        <v>702</v>
      </c>
      <c r="E109" s="17" t="s">
        <v>703</v>
      </c>
      <c r="F109" s="17" t="s">
        <v>704</v>
      </c>
      <c r="G109" s="17" t="s">
        <v>43</v>
      </c>
      <c r="H109" s="17" t="s">
        <v>705</v>
      </c>
      <c r="I109" s="17" t="s">
        <v>706</v>
      </c>
    </row>
    <row r="110" spans="2:9" ht="15.75" thickBot="1" x14ac:dyDescent="0.3">
      <c r="B110" s="17">
        <v>108</v>
      </c>
      <c r="C110" s="17" t="s">
        <v>707</v>
      </c>
      <c r="D110" s="17" t="s">
        <v>708</v>
      </c>
      <c r="E110" s="17" t="s">
        <v>411</v>
      </c>
      <c r="F110" s="17" t="s">
        <v>709</v>
      </c>
      <c r="G110" s="17" t="s">
        <v>710</v>
      </c>
      <c r="H110" s="17" t="s">
        <v>711</v>
      </c>
      <c r="I110" s="17" t="s">
        <v>712</v>
      </c>
    </row>
    <row r="111" spans="2:9" ht="15.75" thickBot="1" x14ac:dyDescent="0.3">
      <c r="B111" s="17">
        <v>109</v>
      </c>
      <c r="C111" s="17" t="s">
        <v>713</v>
      </c>
      <c r="D111" s="17" t="s">
        <v>714</v>
      </c>
      <c r="E111" s="17" t="s">
        <v>715</v>
      </c>
      <c r="F111" s="17" t="s">
        <v>406</v>
      </c>
      <c r="G111" s="17" t="s">
        <v>716</v>
      </c>
      <c r="H111" s="17" t="s">
        <v>717</v>
      </c>
      <c r="I111" s="17" t="s">
        <v>718</v>
      </c>
    </row>
    <row r="112" spans="2:9" ht="15.75" thickBot="1" x14ac:dyDescent="0.3">
      <c r="B112" s="17">
        <v>110</v>
      </c>
      <c r="C112" s="17" t="s">
        <v>719</v>
      </c>
      <c r="D112" s="17" t="s">
        <v>720</v>
      </c>
      <c r="E112" s="17" t="s">
        <v>721</v>
      </c>
      <c r="F112" s="17" t="s">
        <v>722</v>
      </c>
      <c r="G112" s="17" t="s">
        <v>723</v>
      </c>
      <c r="H112" s="17" t="s">
        <v>724</v>
      </c>
      <c r="I112" s="17" t="s">
        <v>725</v>
      </c>
    </row>
    <row r="113" spans="2:9" ht="15.75" thickBot="1" x14ac:dyDescent="0.3">
      <c r="B113" s="17">
        <v>111</v>
      </c>
      <c r="C113" s="17" t="s">
        <v>726</v>
      </c>
      <c r="D113" s="17" t="s">
        <v>727</v>
      </c>
      <c r="E113" s="17" t="s">
        <v>728</v>
      </c>
      <c r="F113" s="17" t="s">
        <v>651</v>
      </c>
      <c r="G113" s="17" t="s">
        <v>469</v>
      </c>
      <c r="H113" s="17" t="s">
        <v>646</v>
      </c>
      <c r="I113" s="17" t="s">
        <v>729</v>
      </c>
    </row>
    <row r="114" spans="2:9" ht="15.75" thickBot="1" x14ac:dyDescent="0.3">
      <c r="B114" s="17">
        <v>112</v>
      </c>
      <c r="C114" s="17" t="s">
        <v>730</v>
      </c>
      <c r="D114" s="17" t="s">
        <v>576</v>
      </c>
      <c r="E114" s="17" t="s">
        <v>731</v>
      </c>
      <c r="F114" s="17" t="s">
        <v>602</v>
      </c>
      <c r="G114" s="17" t="s">
        <v>732</v>
      </c>
      <c r="H114" s="17" t="s">
        <v>523</v>
      </c>
      <c r="I114" s="17" t="s">
        <v>733</v>
      </c>
    </row>
    <row r="115" spans="2:9" ht="15.75" thickBot="1" x14ac:dyDescent="0.3">
      <c r="B115" s="17">
        <v>113</v>
      </c>
      <c r="C115" s="17" t="s">
        <v>734</v>
      </c>
      <c r="D115" s="17" t="s">
        <v>735</v>
      </c>
      <c r="E115" s="17" t="s">
        <v>79</v>
      </c>
      <c r="F115" s="17" t="s">
        <v>736</v>
      </c>
      <c r="G115" s="17" t="s">
        <v>737</v>
      </c>
      <c r="H115" s="17" t="s">
        <v>738</v>
      </c>
      <c r="I115" s="17" t="s">
        <v>739</v>
      </c>
    </row>
    <row r="116" spans="2:9" ht="15.75" thickBot="1" x14ac:dyDescent="0.3">
      <c r="B116" s="17">
        <v>114</v>
      </c>
      <c r="C116" s="17" t="s">
        <v>740</v>
      </c>
      <c r="D116" s="17" t="s">
        <v>741</v>
      </c>
      <c r="E116" s="17" t="s">
        <v>742</v>
      </c>
      <c r="F116" s="17" t="s">
        <v>743</v>
      </c>
      <c r="G116" s="17" t="s">
        <v>744</v>
      </c>
      <c r="H116" s="17" t="s">
        <v>745</v>
      </c>
      <c r="I116" s="17" t="s">
        <v>746</v>
      </c>
    </row>
    <row r="117" spans="2:9" ht="15.75" thickBot="1" x14ac:dyDescent="0.3">
      <c r="B117" s="17">
        <v>115</v>
      </c>
      <c r="C117" s="17" t="s">
        <v>747</v>
      </c>
      <c r="D117" s="17" t="s">
        <v>748</v>
      </c>
      <c r="E117" s="17" t="s">
        <v>749</v>
      </c>
      <c r="F117" s="17" t="s">
        <v>619</v>
      </c>
      <c r="G117" s="17" t="s">
        <v>750</v>
      </c>
      <c r="H117" s="17" t="s">
        <v>751</v>
      </c>
      <c r="I117" s="17" t="s">
        <v>752</v>
      </c>
    </row>
    <row r="118" spans="2:9" ht="15.75" thickBot="1" x14ac:dyDescent="0.3">
      <c r="B118" s="17">
        <v>116</v>
      </c>
      <c r="C118" s="17" t="s">
        <v>753</v>
      </c>
      <c r="D118" s="17" t="s">
        <v>360</v>
      </c>
      <c r="E118" s="17" t="s">
        <v>754</v>
      </c>
      <c r="F118" s="17" t="s">
        <v>755</v>
      </c>
      <c r="G118" s="17" t="s">
        <v>756</v>
      </c>
      <c r="H118" s="17" t="s">
        <v>757</v>
      </c>
      <c r="I118" s="17" t="s">
        <v>758</v>
      </c>
    </row>
    <row r="119" spans="2:9" ht="15.75" thickBot="1" x14ac:dyDescent="0.3">
      <c r="B119" s="17">
        <v>117</v>
      </c>
      <c r="C119" s="17" t="s">
        <v>759</v>
      </c>
      <c r="D119" s="17" t="s">
        <v>191</v>
      </c>
      <c r="E119" s="17" t="s">
        <v>760</v>
      </c>
      <c r="F119" s="17" t="s">
        <v>704</v>
      </c>
      <c r="G119" s="17" t="s">
        <v>761</v>
      </c>
      <c r="H119" s="17" t="s">
        <v>762</v>
      </c>
      <c r="I119" s="17" t="s">
        <v>763</v>
      </c>
    </row>
    <row r="120" spans="2:9" ht="15.75" thickBot="1" x14ac:dyDescent="0.3">
      <c r="B120" s="17">
        <v>118</v>
      </c>
      <c r="C120" s="17" t="s">
        <v>764</v>
      </c>
      <c r="D120" s="17" t="s">
        <v>191</v>
      </c>
      <c r="E120" s="17" t="s">
        <v>424</v>
      </c>
      <c r="F120" s="17" t="s">
        <v>765</v>
      </c>
      <c r="G120" s="17" t="s">
        <v>572</v>
      </c>
      <c r="H120" s="17" t="s">
        <v>766</v>
      </c>
      <c r="I120" s="17" t="s">
        <v>767</v>
      </c>
    </row>
    <row r="121" spans="2:9" ht="15.75" thickBot="1" x14ac:dyDescent="0.3">
      <c r="B121" s="17">
        <v>119</v>
      </c>
      <c r="C121" s="17" t="s">
        <v>768</v>
      </c>
      <c r="D121" s="17" t="s">
        <v>769</v>
      </c>
      <c r="E121" s="17" t="s">
        <v>770</v>
      </c>
      <c r="F121" s="17" t="s">
        <v>771</v>
      </c>
      <c r="G121" s="17" t="s">
        <v>534</v>
      </c>
      <c r="H121" s="17" t="s">
        <v>772</v>
      </c>
      <c r="I121" s="17" t="s">
        <v>773</v>
      </c>
    </row>
    <row r="122" spans="2:9" ht="15.75" thickBot="1" x14ac:dyDescent="0.3">
      <c r="B122" s="17">
        <v>120</v>
      </c>
      <c r="C122" s="17" t="s">
        <v>774</v>
      </c>
      <c r="D122" s="17" t="s">
        <v>775</v>
      </c>
      <c r="E122" s="17" t="s">
        <v>591</v>
      </c>
      <c r="F122" s="17" t="s">
        <v>776</v>
      </c>
      <c r="G122" s="17" t="s">
        <v>777</v>
      </c>
      <c r="H122" s="17" t="s">
        <v>778</v>
      </c>
      <c r="I122" s="17" t="s">
        <v>779</v>
      </c>
    </row>
    <row r="123" spans="2:9" ht="15.75" thickBot="1" x14ac:dyDescent="0.3">
      <c r="B123" s="17">
        <v>121</v>
      </c>
      <c r="C123" s="17" t="s">
        <v>780</v>
      </c>
      <c r="D123" s="17" t="s">
        <v>781</v>
      </c>
      <c r="E123" s="17" t="s">
        <v>782</v>
      </c>
      <c r="F123" s="17" t="s">
        <v>783</v>
      </c>
      <c r="G123" s="17" t="s">
        <v>784</v>
      </c>
      <c r="H123" s="17" t="s">
        <v>785</v>
      </c>
      <c r="I123" s="17" t="s">
        <v>786</v>
      </c>
    </row>
    <row r="124" spans="2:9" ht="15.75" thickBot="1" x14ac:dyDescent="0.3">
      <c r="B124" s="17">
        <v>122</v>
      </c>
      <c r="C124" s="17" t="s">
        <v>787</v>
      </c>
      <c r="D124" s="17" t="s">
        <v>788</v>
      </c>
      <c r="E124" s="17" t="s">
        <v>789</v>
      </c>
      <c r="F124" s="17" t="s">
        <v>401</v>
      </c>
      <c r="G124" s="17" t="s">
        <v>790</v>
      </c>
      <c r="H124" s="17" t="s">
        <v>791</v>
      </c>
      <c r="I124" s="17" t="s">
        <v>792</v>
      </c>
    </row>
    <row r="125" spans="2:9" ht="15.75" thickBot="1" x14ac:dyDescent="0.3">
      <c r="B125" s="17">
        <v>123</v>
      </c>
      <c r="C125" s="17" t="s">
        <v>793</v>
      </c>
      <c r="D125" s="17" t="s">
        <v>794</v>
      </c>
      <c r="E125" s="17" t="s">
        <v>196</v>
      </c>
      <c r="F125" s="17" t="s">
        <v>795</v>
      </c>
      <c r="G125" s="17" t="s">
        <v>260</v>
      </c>
      <c r="H125" s="17" t="s">
        <v>796</v>
      </c>
      <c r="I125" s="17" t="s">
        <v>797</v>
      </c>
    </row>
    <row r="126" spans="2:9" ht="15.75" thickBot="1" x14ac:dyDescent="0.3">
      <c r="B126" s="17">
        <v>124</v>
      </c>
      <c r="C126" s="17" t="s">
        <v>798</v>
      </c>
      <c r="D126" s="17" t="s">
        <v>794</v>
      </c>
      <c r="E126" s="17" t="s">
        <v>417</v>
      </c>
      <c r="F126" s="17" t="s">
        <v>775</v>
      </c>
      <c r="G126" s="17" t="s">
        <v>799</v>
      </c>
      <c r="H126" s="17" t="s">
        <v>800</v>
      </c>
      <c r="I126" s="17" t="s">
        <v>801</v>
      </c>
    </row>
    <row r="127" spans="2:9" ht="15.75" thickBot="1" x14ac:dyDescent="0.3">
      <c r="B127" s="17">
        <v>125</v>
      </c>
      <c r="C127" s="17" t="s">
        <v>802</v>
      </c>
      <c r="D127" s="17" t="s">
        <v>803</v>
      </c>
      <c r="E127" s="17" t="s">
        <v>804</v>
      </c>
      <c r="F127" s="17" t="s">
        <v>805</v>
      </c>
      <c r="G127" s="17" t="s">
        <v>806</v>
      </c>
      <c r="H127" s="17" t="s">
        <v>807</v>
      </c>
      <c r="I127" s="17" t="s">
        <v>808</v>
      </c>
    </row>
    <row r="128" spans="2:9" ht="15.75" thickBot="1" x14ac:dyDescent="0.3">
      <c r="B128" s="17">
        <v>126</v>
      </c>
      <c r="C128" s="17" t="s">
        <v>809</v>
      </c>
      <c r="D128" s="17" t="s">
        <v>803</v>
      </c>
      <c r="E128" s="17" t="s">
        <v>335</v>
      </c>
      <c r="F128" s="17" t="s">
        <v>704</v>
      </c>
      <c r="G128" s="17" t="s">
        <v>628</v>
      </c>
      <c r="H128" s="17" t="s">
        <v>810</v>
      </c>
      <c r="I128" s="17" t="s">
        <v>811</v>
      </c>
    </row>
    <row r="129" spans="2:9" ht="15.75" thickBot="1" x14ac:dyDescent="0.3">
      <c r="B129" s="17">
        <v>127</v>
      </c>
      <c r="C129" s="17" t="s">
        <v>812</v>
      </c>
      <c r="D129" s="17" t="s">
        <v>813</v>
      </c>
      <c r="E129" s="17" t="s">
        <v>814</v>
      </c>
      <c r="F129" s="17" t="s">
        <v>736</v>
      </c>
      <c r="G129" s="17" t="s">
        <v>815</v>
      </c>
      <c r="H129" s="17" t="s">
        <v>816</v>
      </c>
      <c r="I129" s="17" t="s">
        <v>817</v>
      </c>
    </row>
    <row r="130" spans="2:9" ht="15.75" thickBot="1" x14ac:dyDescent="0.3">
      <c r="B130" s="17">
        <v>128</v>
      </c>
      <c r="C130" s="17" t="s">
        <v>818</v>
      </c>
      <c r="D130" s="17" t="s">
        <v>819</v>
      </c>
      <c r="E130" s="17" t="s">
        <v>820</v>
      </c>
      <c r="F130" s="17" t="s">
        <v>821</v>
      </c>
      <c r="G130" s="17" t="s">
        <v>822</v>
      </c>
      <c r="H130" s="17" t="s">
        <v>823</v>
      </c>
      <c r="I130" s="17" t="s">
        <v>824</v>
      </c>
    </row>
    <row r="131" spans="2:9" ht="15.75" thickBot="1" x14ac:dyDescent="0.3">
      <c r="B131" s="17">
        <v>129</v>
      </c>
      <c r="C131" s="17" t="s">
        <v>825</v>
      </c>
      <c r="D131" s="17" t="s">
        <v>826</v>
      </c>
      <c r="E131" s="17" t="s">
        <v>553</v>
      </c>
      <c r="F131" s="17" t="s">
        <v>827</v>
      </c>
      <c r="G131" s="17" t="s">
        <v>828</v>
      </c>
      <c r="H131" s="17" t="s">
        <v>829</v>
      </c>
      <c r="I131" s="17" t="s">
        <v>830</v>
      </c>
    </row>
    <row r="132" spans="2:9" ht="15.75" thickBot="1" x14ac:dyDescent="0.3">
      <c r="B132" s="17">
        <v>130</v>
      </c>
      <c r="C132" s="17" t="s">
        <v>831</v>
      </c>
      <c r="D132" s="17" t="s">
        <v>23</v>
      </c>
      <c r="E132" s="17" t="s">
        <v>832</v>
      </c>
      <c r="F132" s="17" t="s">
        <v>270</v>
      </c>
      <c r="G132" s="17" t="s">
        <v>833</v>
      </c>
      <c r="H132" s="17" t="s">
        <v>488</v>
      </c>
      <c r="I132" s="17" t="s">
        <v>834</v>
      </c>
    </row>
    <row r="133" spans="2:9" ht="15.75" thickBot="1" x14ac:dyDescent="0.3">
      <c r="B133" s="17">
        <v>131</v>
      </c>
      <c r="C133" s="17" t="s">
        <v>835</v>
      </c>
      <c r="D133" s="17" t="s">
        <v>23</v>
      </c>
      <c r="E133" s="17" t="s">
        <v>488</v>
      </c>
      <c r="F133" s="17" t="s">
        <v>836</v>
      </c>
      <c r="G133" s="17" t="s">
        <v>837</v>
      </c>
      <c r="H133" s="17" t="s">
        <v>838</v>
      </c>
      <c r="I133" s="17" t="s">
        <v>839</v>
      </c>
    </row>
    <row r="134" spans="2:9" ht="15.75" thickBot="1" x14ac:dyDescent="0.3">
      <c r="B134" s="17">
        <v>132</v>
      </c>
      <c r="C134" s="17" t="s">
        <v>840</v>
      </c>
      <c r="D134" s="17" t="s">
        <v>841</v>
      </c>
      <c r="E134" s="17" t="s">
        <v>842</v>
      </c>
      <c r="F134" s="17" t="s">
        <v>843</v>
      </c>
      <c r="G134" s="17" t="s">
        <v>39</v>
      </c>
      <c r="H134" s="17" t="s">
        <v>844</v>
      </c>
      <c r="I134" s="17" t="s">
        <v>845</v>
      </c>
    </row>
    <row r="135" spans="2:9" ht="15.75" thickBot="1" x14ac:dyDescent="0.3">
      <c r="B135" s="17">
        <v>133</v>
      </c>
      <c r="C135" s="17" t="s">
        <v>846</v>
      </c>
      <c r="D135" s="17" t="s">
        <v>847</v>
      </c>
      <c r="E135" s="17">
        <v>1</v>
      </c>
      <c r="F135" s="17" t="s">
        <v>848</v>
      </c>
      <c r="G135" s="17" t="s">
        <v>849</v>
      </c>
      <c r="H135" s="17" t="s">
        <v>850</v>
      </c>
      <c r="I135" s="17" t="s">
        <v>851</v>
      </c>
    </row>
    <row r="136" spans="2:9" ht="15.75" thickBot="1" x14ac:dyDescent="0.3">
      <c r="B136" s="17">
        <v>134</v>
      </c>
      <c r="C136" s="17" t="s">
        <v>852</v>
      </c>
      <c r="D136" s="17" t="s">
        <v>853</v>
      </c>
      <c r="E136" s="17" t="s">
        <v>281</v>
      </c>
      <c r="F136" s="17" t="s">
        <v>854</v>
      </c>
      <c r="G136" s="17" t="s">
        <v>373</v>
      </c>
      <c r="H136" s="17" t="s">
        <v>855</v>
      </c>
      <c r="I136" s="17" t="s">
        <v>856</v>
      </c>
    </row>
    <row r="137" spans="2:9" ht="15.75" thickBot="1" x14ac:dyDescent="0.3">
      <c r="B137" s="17">
        <v>135</v>
      </c>
      <c r="C137" s="17" t="s">
        <v>857</v>
      </c>
      <c r="D137" s="17" t="s">
        <v>853</v>
      </c>
      <c r="E137" s="17" t="s">
        <v>545</v>
      </c>
      <c r="F137" s="17" t="s">
        <v>223</v>
      </c>
      <c r="G137" s="17" t="s">
        <v>858</v>
      </c>
      <c r="H137" s="17" t="s">
        <v>859</v>
      </c>
      <c r="I137" s="17" t="s">
        <v>860</v>
      </c>
    </row>
    <row r="138" spans="2:9" ht="15.75" thickBot="1" x14ac:dyDescent="0.3">
      <c r="B138" s="17">
        <v>136</v>
      </c>
      <c r="C138" s="17" t="s">
        <v>861</v>
      </c>
      <c r="D138" s="17" t="s">
        <v>86</v>
      </c>
      <c r="E138" s="17" t="s">
        <v>37</v>
      </c>
      <c r="F138" s="17" t="s">
        <v>223</v>
      </c>
      <c r="G138" s="17" t="s">
        <v>862</v>
      </c>
      <c r="H138" s="17" t="s">
        <v>863</v>
      </c>
      <c r="I138" s="17" t="s">
        <v>864</v>
      </c>
    </row>
    <row r="139" spans="2:9" ht="15.75" thickBot="1" x14ac:dyDescent="0.3">
      <c r="B139" s="17">
        <v>137</v>
      </c>
      <c r="C139" s="17" t="s">
        <v>865</v>
      </c>
      <c r="D139" s="17" t="s">
        <v>607</v>
      </c>
      <c r="E139" s="17" t="s">
        <v>79</v>
      </c>
      <c r="F139" s="17" t="s">
        <v>866</v>
      </c>
      <c r="G139" s="17" t="s">
        <v>867</v>
      </c>
      <c r="H139" s="17" t="s">
        <v>868</v>
      </c>
      <c r="I139" s="17" t="s">
        <v>869</v>
      </c>
    </row>
    <row r="140" spans="2:9" ht="15.75" thickBot="1" x14ac:dyDescent="0.3">
      <c r="B140" s="17">
        <v>138</v>
      </c>
      <c r="C140" s="17" t="s">
        <v>870</v>
      </c>
      <c r="D140" s="17" t="s">
        <v>607</v>
      </c>
      <c r="E140" s="17" t="s">
        <v>184</v>
      </c>
      <c r="F140" s="17" t="s">
        <v>871</v>
      </c>
      <c r="G140" s="17" t="s">
        <v>841</v>
      </c>
      <c r="H140" s="17" t="s">
        <v>872</v>
      </c>
      <c r="I140" s="17" t="s">
        <v>873</v>
      </c>
    </row>
    <row r="141" spans="2:9" ht="15.75" thickBot="1" x14ac:dyDescent="0.3">
      <c r="B141" s="17">
        <v>139</v>
      </c>
      <c r="C141" s="17" t="s">
        <v>874</v>
      </c>
      <c r="D141" s="17" t="s">
        <v>607</v>
      </c>
      <c r="E141" s="17" t="s">
        <v>853</v>
      </c>
      <c r="F141" s="17" t="s">
        <v>72</v>
      </c>
      <c r="G141" s="17" t="s">
        <v>875</v>
      </c>
      <c r="H141" s="17" t="s">
        <v>336</v>
      </c>
      <c r="I141" s="17" t="s">
        <v>876</v>
      </c>
    </row>
    <row r="142" spans="2:9" ht="15.75" thickBot="1" x14ac:dyDescent="0.3">
      <c r="B142" s="17">
        <v>140</v>
      </c>
      <c r="C142" s="17" t="s">
        <v>877</v>
      </c>
      <c r="D142" s="17" t="s">
        <v>424</v>
      </c>
      <c r="E142" s="17" t="s">
        <v>878</v>
      </c>
      <c r="F142" s="17" t="s">
        <v>342</v>
      </c>
      <c r="G142" s="17" t="s">
        <v>879</v>
      </c>
      <c r="H142" s="17" t="s">
        <v>880</v>
      </c>
      <c r="I142" s="17" t="s">
        <v>881</v>
      </c>
    </row>
    <row r="143" spans="2:9" ht="15.75" thickBot="1" x14ac:dyDescent="0.3">
      <c r="B143" s="17">
        <v>141</v>
      </c>
      <c r="C143" s="17" t="s">
        <v>882</v>
      </c>
      <c r="D143" s="17" t="s">
        <v>871</v>
      </c>
      <c r="E143" s="17" t="s">
        <v>883</v>
      </c>
      <c r="F143" s="17" t="s">
        <v>795</v>
      </c>
      <c r="G143" s="17" t="s">
        <v>353</v>
      </c>
      <c r="H143" s="17" t="s">
        <v>647</v>
      </c>
      <c r="I143" s="17" t="s">
        <v>884</v>
      </c>
    </row>
    <row r="144" spans="2:9" ht="15.75" thickBot="1" x14ac:dyDescent="0.3">
      <c r="B144" s="17">
        <v>142</v>
      </c>
      <c r="C144" s="17" t="s">
        <v>885</v>
      </c>
      <c r="D144" s="17" t="s">
        <v>886</v>
      </c>
      <c r="E144" s="17" t="s">
        <v>887</v>
      </c>
      <c r="F144" s="17" t="s">
        <v>30</v>
      </c>
      <c r="G144" s="17" t="s">
        <v>888</v>
      </c>
      <c r="H144" s="17" t="s">
        <v>889</v>
      </c>
      <c r="I144" s="17" t="s">
        <v>890</v>
      </c>
    </row>
    <row r="145" spans="2:9" ht="15.75" thickBot="1" x14ac:dyDescent="0.3">
      <c r="B145" s="17">
        <v>143</v>
      </c>
      <c r="C145" s="17" t="s">
        <v>891</v>
      </c>
      <c r="D145" s="17" t="s">
        <v>892</v>
      </c>
      <c r="E145" s="17" t="s">
        <v>893</v>
      </c>
      <c r="F145" s="17" t="s">
        <v>402</v>
      </c>
      <c r="G145" s="17" t="s">
        <v>894</v>
      </c>
      <c r="H145" s="17" t="s">
        <v>895</v>
      </c>
      <c r="I145" s="17" t="s">
        <v>896</v>
      </c>
    </row>
    <row r="146" spans="2:9" ht="15.75" thickBot="1" x14ac:dyDescent="0.3">
      <c r="B146" s="17">
        <v>144</v>
      </c>
      <c r="C146" s="17" t="s">
        <v>897</v>
      </c>
      <c r="D146" s="17" t="s">
        <v>898</v>
      </c>
      <c r="E146" s="17" t="s">
        <v>591</v>
      </c>
      <c r="F146" s="17" t="s">
        <v>899</v>
      </c>
      <c r="G146" s="17" t="s">
        <v>900</v>
      </c>
      <c r="H146" s="17" t="s">
        <v>222</v>
      </c>
      <c r="I146" s="17" t="s">
        <v>901</v>
      </c>
    </row>
    <row r="147" spans="2:9" ht="15.75" thickBot="1" x14ac:dyDescent="0.3">
      <c r="B147" s="17">
        <v>145</v>
      </c>
      <c r="C147" s="17" t="s">
        <v>902</v>
      </c>
      <c r="D147" s="17" t="s">
        <v>898</v>
      </c>
      <c r="E147" s="17" t="s">
        <v>903</v>
      </c>
      <c r="F147" s="17" t="s">
        <v>209</v>
      </c>
      <c r="G147" s="17" t="s">
        <v>904</v>
      </c>
      <c r="H147" s="17" t="s">
        <v>905</v>
      </c>
      <c r="I147" s="17" t="s">
        <v>906</v>
      </c>
    </row>
    <row r="148" spans="2:9" ht="15.75" thickBot="1" x14ac:dyDescent="0.3">
      <c r="B148" s="17">
        <v>146</v>
      </c>
      <c r="C148" s="17" t="s">
        <v>907</v>
      </c>
      <c r="D148" s="17" t="s">
        <v>908</v>
      </c>
      <c r="E148" s="17" t="s">
        <v>909</v>
      </c>
      <c r="F148" s="17" t="s">
        <v>883</v>
      </c>
      <c r="G148" s="17" t="s">
        <v>910</v>
      </c>
      <c r="H148" s="17" t="s">
        <v>911</v>
      </c>
      <c r="I148" s="17" t="s">
        <v>912</v>
      </c>
    </row>
    <row r="149" spans="2:9" ht="15.75" thickBot="1" x14ac:dyDescent="0.3">
      <c r="B149" s="17">
        <v>147</v>
      </c>
      <c r="C149" s="17" t="s">
        <v>913</v>
      </c>
      <c r="D149" s="17" t="s">
        <v>339</v>
      </c>
      <c r="E149" s="17" t="s">
        <v>323</v>
      </c>
      <c r="F149" s="17" t="s">
        <v>577</v>
      </c>
      <c r="G149" s="17" t="s">
        <v>914</v>
      </c>
      <c r="H149" s="17" t="s">
        <v>915</v>
      </c>
      <c r="I149" s="17" t="s">
        <v>916</v>
      </c>
    </row>
    <row r="150" spans="2:9" ht="15.75" thickBot="1" x14ac:dyDescent="0.3">
      <c r="B150" s="17">
        <v>148</v>
      </c>
      <c r="C150" s="17" t="s">
        <v>917</v>
      </c>
      <c r="D150" s="17" t="s">
        <v>109</v>
      </c>
      <c r="E150" s="17" t="s">
        <v>413</v>
      </c>
      <c r="F150" s="17" t="s">
        <v>918</v>
      </c>
      <c r="G150" s="17" t="s">
        <v>919</v>
      </c>
      <c r="H150" s="17" t="s">
        <v>920</v>
      </c>
      <c r="I150" s="17" t="s">
        <v>921</v>
      </c>
    </row>
    <row r="151" spans="2:9" ht="15.75" thickBot="1" x14ac:dyDescent="0.3">
      <c r="B151" s="17">
        <v>149</v>
      </c>
      <c r="C151" s="17" t="s">
        <v>922</v>
      </c>
      <c r="D151" s="17" t="s">
        <v>109</v>
      </c>
      <c r="E151" s="17" t="s">
        <v>346</v>
      </c>
      <c r="F151" s="17" t="s">
        <v>923</v>
      </c>
      <c r="G151" s="17" t="s">
        <v>924</v>
      </c>
      <c r="H151" s="17" t="s">
        <v>925</v>
      </c>
      <c r="I151" s="17" t="s">
        <v>926</v>
      </c>
    </row>
    <row r="152" spans="2:9" ht="15.75" thickBot="1" x14ac:dyDescent="0.3">
      <c r="B152" s="17">
        <v>150</v>
      </c>
      <c r="C152" s="17" t="s">
        <v>927</v>
      </c>
      <c r="D152" s="17" t="s">
        <v>130</v>
      </c>
      <c r="E152" s="17" t="s">
        <v>928</v>
      </c>
      <c r="F152" s="17" t="s">
        <v>929</v>
      </c>
      <c r="G152" s="17" t="s">
        <v>930</v>
      </c>
      <c r="H152" s="17" t="s">
        <v>931</v>
      </c>
      <c r="I152" s="17" t="s">
        <v>932</v>
      </c>
    </row>
    <row r="153" spans="2:9" ht="15.75" thickBot="1" x14ac:dyDescent="0.3">
      <c r="B153" s="17">
        <v>151</v>
      </c>
      <c r="C153" s="17" t="s">
        <v>933</v>
      </c>
      <c r="D153" s="17" t="s">
        <v>130</v>
      </c>
      <c r="E153" s="17" t="s">
        <v>373</v>
      </c>
      <c r="F153" s="17" t="s">
        <v>934</v>
      </c>
      <c r="G153" s="17" t="s">
        <v>65</v>
      </c>
      <c r="H153" s="17" t="s">
        <v>709</v>
      </c>
      <c r="I153" s="17" t="s">
        <v>935</v>
      </c>
    </row>
    <row r="154" spans="2:9" ht="15.75" thickBot="1" x14ac:dyDescent="0.3">
      <c r="B154" s="17">
        <v>152</v>
      </c>
      <c r="C154" s="17" t="s">
        <v>936</v>
      </c>
      <c r="D154" s="17" t="s">
        <v>595</v>
      </c>
      <c r="E154" s="17" t="s">
        <v>826</v>
      </c>
      <c r="F154" s="17" t="s">
        <v>937</v>
      </c>
      <c r="G154" s="17" t="s">
        <v>938</v>
      </c>
      <c r="H154" s="17" t="s">
        <v>939</v>
      </c>
      <c r="I154" s="17" t="s">
        <v>940</v>
      </c>
    </row>
    <row r="155" spans="2:9" ht="15.75" thickBot="1" x14ac:dyDescent="0.3">
      <c r="B155" s="17">
        <v>153</v>
      </c>
      <c r="C155" s="17" t="s">
        <v>941</v>
      </c>
      <c r="D155" s="17" t="s">
        <v>37</v>
      </c>
      <c r="E155" s="17" t="s">
        <v>942</v>
      </c>
      <c r="F155" s="17" t="s">
        <v>943</v>
      </c>
      <c r="G155" s="17" t="s">
        <v>944</v>
      </c>
      <c r="H155" s="17" t="s">
        <v>710</v>
      </c>
      <c r="I155" s="17" t="s">
        <v>945</v>
      </c>
    </row>
    <row r="156" spans="2:9" ht="15.75" thickBot="1" x14ac:dyDescent="0.3">
      <c r="B156" s="17">
        <v>154</v>
      </c>
      <c r="C156" s="17" t="s">
        <v>946</v>
      </c>
      <c r="D156" s="17" t="s">
        <v>37</v>
      </c>
      <c r="E156" s="17" t="s">
        <v>37</v>
      </c>
      <c r="F156" s="17">
        <v>0</v>
      </c>
      <c r="G156" s="17" t="s">
        <v>947</v>
      </c>
      <c r="H156" s="17" t="s">
        <v>948</v>
      </c>
      <c r="I156" s="17" t="s">
        <v>947</v>
      </c>
    </row>
    <row r="157" spans="2:9" ht="15.75" thickBot="1" x14ac:dyDescent="0.3">
      <c r="B157" s="17">
        <v>155</v>
      </c>
      <c r="C157" s="17" t="s">
        <v>949</v>
      </c>
      <c r="D157" s="17" t="s">
        <v>37</v>
      </c>
      <c r="E157" s="17" t="s">
        <v>595</v>
      </c>
      <c r="F157" s="17" t="s">
        <v>602</v>
      </c>
      <c r="G157" s="17" t="s">
        <v>950</v>
      </c>
      <c r="H157" s="17" t="s">
        <v>951</v>
      </c>
      <c r="I157" s="17" t="s">
        <v>952</v>
      </c>
    </row>
    <row r="158" spans="2:9" ht="15.75" thickBot="1" x14ac:dyDescent="0.3">
      <c r="B158" s="17">
        <v>156</v>
      </c>
      <c r="C158" s="17" t="s">
        <v>953</v>
      </c>
      <c r="D158" s="17" t="s">
        <v>37</v>
      </c>
      <c r="E158" s="17" t="s">
        <v>742</v>
      </c>
      <c r="F158" s="17" t="s">
        <v>954</v>
      </c>
      <c r="G158" s="17" t="s">
        <v>955</v>
      </c>
      <c r="H158" s="17" t="s">
        <v>956</v>
      </c>
      <c r="I158" s="17" t="s">
        <v>957</v>
      </c>
    </row>
    <row r="159" spans="2:9" ht="15.75" thickBot="1" x14ac:dyDescent="0.3">
      <c r="B159" s="17">
        <v>157</v>
      </c>
      <c r="C159" s="17" t="s">
        <v>958</v>
      </c>
      <c r="D159" s="17" t="s">
        <v>959</v>
      </c>
      <c r="E159" s="17" t="s">
        <v>960</v>
      </c>
      <c r="F159" s="17" t="s">
        <v>756</v>
      </c>
      <c r="G159" s="17" t="s">
        <v>961</v>
      </c>
      <c r="H159" s="17" t="s">
        <v>650</v>
      </c>
      <c r="I159" s="17" t="s">
        <v>962</v>
      </c>
    </row>
    <row r="160" spans="2:9" ht="15.75" thickBot="1" x14ac:dyDescent="0.3">
      <c r="B160" s="17">
        <v>158</v>
      </c>
      <c r="C160" s="17" t="s">
        <v>963</v>
      </c>
      <c r="D160" s="17" t="s">
        <v>964</v>
      </c>
      <c r="E160" s="17" t="s">
        <v>965</v>
      </c>
      <c r="F160" s="17" t="s">
        <v>325</v>
      </c>
      <c r="G160" s="17" t="s">
        <v>966</v>
      </c>
      <c r="H160" s="17" t="s">
        <v>328</v>
      </c>
      <c r="I160" s="17" t="s">
        <v>967</v>
      </c>
    </row>
    <row r="161" spans="2:9" ht="15.75" thickBot="1" x14ac:dyDescent="0.3">
      <c r="B161" s="17">
        <v>159</v>
      </c>
      <c r="C161" s="17" t="s">
        <v>968</v>
      </c>
      <c r="D161" s="17" t="s">
        <v>964</v>
      </c>
      <c r="E161" s="17" t="s">
        <v>969</v>
      </c>
      <c r="F161" s="17" t="s">
        <v>660</v>
      </c>
      <c r="G161" s="17" t="s">
        <v>970</v>
      </c>
      <c r="H161" s="17" t="s">
        <v>971</v>
      </c>
      <c r="I161" s="17" t="s">
        <v>972</v>
      </c>
    </row>
    <row r="162" spans="2:9" ht="15.75" thickBot="1" x14ac:dyDescent="0.3">
      <c r="B162" s="17">
        <v>160</v>
      </c>
      <c r="C162" s="17" t="s">
        <v>973</v>
      </c>
      <c r="D162" s="17" t="s">
        <v>964</v>
      </c>
      <c r="E162" s="17" t="s">
        <v>656</v>
      </c>
      <c r="F162" s="17" t="s">
        <v>782</v>
      </c>
      <c r="G162" s="17" t="s">
        <v>974</v>
      </c>
      <c r="H162" s="17" t="s">
        <v>975</v>
      </c>
      <c r="I162" s="17" t="s">
        <v>976</v>
      </c>
    </row>
    <row r="163" spans="2:9" ht="15.75" thickBot="1" x14ac:dyDescent="0.3">
      <c r="B163" s="17">
        <v>161</v>
      </c>
      <c r="C163" s="17" t="s">
        <v>977</v>
      </c>
      <c r="D163" s="17" t="s">
        <v>964</v>
      </c>
      <c r="E163" s="17" t="s">
        <v>978</v>
      </c>
      <c r="F163" s="17" t="s">
        <v>631</v>
      </c>
      <c r="G163" s="17" t="s">
        <v>979</v>
      </c>
      <c r="H163" s="17" t="s">
        <v>980</v>
      </c>
      <c r="I163" s="17" t="s">
        <v>981</v>
      </c>
    </row>
    <row r="164" spans="2:9" ht="15.75" thickBot="1" x14ac:dyDescent="0.3">
      <c r="B164" s="17">
        <v>162</v>
      </c>
      <c r="C164" s="17" t="s">
        <v>982</v>
      </c>
      <c r="D164" s="17" t="s">
        <v>281</v>
      </c>
      <c r="E164" s="17" t="s">
        <v>709</v>
      </c>
      <c r="F164" s="17" t="s">
        <v>25</v>
      </c>
      <c r="G164" s="17" t="s">
        <v>983</v>
      </c>
      <c r="H164" s="17" t="s">
        <v>984</v>
      </c>
      <c r="I164" s="17" t="s">
        <v>985</v>
      </c>
    </row>
    <row r="165" spans="2:9" ht="15.75" thickBot="1" x14ac:dyDescent="0.3">
      <c r="B165" s="17">
        <v>163</v>
      </c>
      <c r="C165" s="17" t="s">
        <v>986</v>
      </c>
      <c r="D165" s="17" t="s">
        <v>281</v>
      </c>
      <c r="E165" s="17" t="s">
        <v>878</v>
      </c>
      <c r="F165" s="17" t="s">
        <v>987</v>
      </c>
      <c r="G165" s="17" t="s">
        <v>988</v>
      </c>
      <c r="H165" s="17" t="s">
        <v>989</v>
      </c>
      <c r="I165" s="17" t="s">
        <v>990</v>
      </c>
    </row>
    <row r="166" spans="2:9" ht="15.75" thickBot="1" x14ac:dyDescent="0.3">
      <c r="B166" s="17">
        <v>164</v>
      </c>
      <c r="C166" s="17" t="s">
        <v>991</v>
      </c>
      <c r="D166" s="17" t="s">
        <v>992</v>
      </c>
      <c r="E166" s="17" t="s">
        <v>522</v>
      </c>
      <c r="F166" s="17" t="s">
        <v>993</v>
      </c>
      <c r="G166" s="17" t="s">
        <v>994</v>
      </c>
      <c r="H166" s="17" t="s">
        <v>995</v>
      </c>
      <c r="I166" s="17" t="s">
        <v>996</v>
      </c>
    </row>
    <row r="167" spans="2:9" ht="15.75" thickBot="1" x14ac:dyDescent="0.3">
      <c r="B167" s="17">
        <v>165</v>
      </c>
      <c r="C167" s="17" t="s">
        <v>997</v>
      </c>
      <c r="D167" s="17" t="s">
        <v>992</v>
      </c>
      <c r="E167" s="17" t="s">
        <v>456</v>
      </c>
      <c r="F167" s="17" t="s">
        <v>998</v>
      </c>
      <c r="G167" s="17" t="s">
        <v>999</v>
      </c>
      <c r="H167" s="17" t="s">
        <v>1000</v>
      </c>
      <c r="I167" s="17" t="s">
        <v>1001</v>
      </c>
    </row>
    <row r="168" spans="2:9" ht="15.75" thickBot="1" x14ac:dyDescent="0.3">
      <c r="B168" s="17">
        <v>166</v>
      </c>
      <c r="C168" s="17" t="s">
        <v>1002</v>
      </c>
      <c r="D168" s="17" t="s">
        <v>389</v>
      </c>
      <c r="E168" s="17" t="s">
        <v>1003</v>
      </c>
      <c r="F168" s="17" t="s">
        <v>1004</v>
      </c>
      <c r="G168" s="17" t="s">
        <v>1005</v>
      </c>
      <c r="H168" s="17" t="s">
        <v>1006</v>
      </c>
      <c r="I168" s="17" t="s">
        <v>1007</v>
      </c>
    </row>
    <row r="169" spans="2:9" ht="15.75" thickBot="1" x14ac:dyDescent="0.3">
      <c r="B169" s="17">
        <v>167</v>
      </c>
      <c r="C169" s="17" t="s">
        <v>1008</v>
      </c>
      <c r="D169" s="17" t="s">
        <v>215</v>
      </c>
      <c r="E169" s="17" t="s">
        <v>382</v>
      </c>
      <c r="F169" s="17" t="s">
        <v>765</v>
      </c>
      <c r="G169" s="17" t="s">
        <v>1009</v>
      </c>
      <c r="H169" s="17" t="s">
        <v>1010</v>
      </c>
      <c r="I169" s="17" t="s">
        <v>1011</v>
      </c>
    </row>
    <row r="170" spans="2:9" ht="15.75" thickBot="1" x14ac:dyDescent="0.3">
      <c r="B170" s="17">
        <v>168</v>
      </c>
      <c r="C170" s="17" t="s">
        <v>1012</v>
      </c>
      <c r="D170" s="17" t="s">
        <v>657</v>
      </c>
      <c r="E170" s="17" t="s">
        <v>221</v>
      </c>
      <c r="F170" s="17" t="s">
        <v>1013</v>
      </c>
      <c r="G170" s="17" t="s">
        <v>309</v>
      </c>
      <c r="H170" s="17" t="s">
        <v>1014</v>
      </c>
      <c r="I170" s="17" t="s">
        <v>1015</v>
      </c>
    </row>
    <row r="171" spans="2:9" ht="15.75" thickBot="1" x14ac:dyDescent="0.3">
      <c r="B171" s="17">
        <v>169</v>
      </c>
      <c r="C171" s="17" t="s">
        <v>1016</v>
      </c>
      <c r="D171" s="17" t="s">
        <v>657</v>
      </c>
      <c r="E171" s="17" t="s">
        <v>1017</v>
      </c>
      <c r="F171" s="17" t="s">
        <v>1018</v>
      </c>
      <c r="G171" s="17" t="s">
        <v>1019</v>
      </c>
      <c r="H171" s="17" t="s">
        <v>681</v>
      </c>
      <c r="I171" s="17" t="s">
        <v>1020</v>
      </c>
    </row>
    <row r="172" spans="2:9" ht="15.75" thickBot="1" x14ac:dyDescent="0.3">
      <c r="B172" s="17">
        <v>170</v>
      </c>
      <c r="C172" s="17" t="s">
        <v>1021</v>
      </c>
      <c r="D172" s="17" t="s">
        <v>657</v>
      </c>
      <c r="E172" s="17" t="s">
        <v>937</v>
      </c>
      <c r="F172" s="17" t="s">
        <v>185</v>
      </c>
      <c r="G172" s="17" t="s">
        <v>1022</v>
      </c>
      <c r="H172" s="17" t="s">
        <v>1023</v>
      </c>
      <c r="I172" s="17" t="s">
        <v>1024</v>
      </c>
    </row>
    <row r="173" spans="2:9" ht="15.75" thickBot="1" x14ac:dyDescent="0.3">
      <c r="B173" s="17">
        <v>171</v>
      </c>
      <c r="C173" s="17" t="s">
        <v>1025</v>
      </c>
      <c r="D173" s="17" t="s">
        <v>657</v>
      </c>
      <c r="E173" s="17" t="s">
        <v>227</v>
      </c>
      <c r="F173" s="17" t="s">
        <v>899</v>
      </c>
      <c r="G173" s="17" t="s">
        <v>1026</v>
      </c>
      <c r="H173" s="17" t="s">
        <v>1027</v>
      </c>
      <c r="I173" s="17" t="s">
        <v>1028</v>
      </c>
    </row>
    <row r="174" spans="2:9" ht="15.75" thickBot="1" x14ac:dyDescent="0.3">
      <c r="B174" s="17">
        <v>172</v>
      </c>
      <c r="C174" s="17" t="s">
        <v>1029</v>
      </c>
      <c r="D174" s="17" t="s">
        <v>477</v>
      </c>
      <c r="E174" s="17" t="s">
        <v>107</v>
      </c>
      <c r="F174" s="17" t="s">
        <v>1030</v>
      </c>
      <c r="G174" s="17" t="s">
        <v>1031</v>
      </c>
      <c r="H174" s="17" t="s">
        <v>1032</v>
      </c>
      <c r="I174" s="17" t="s">
        <v>1033</v>
      </c>
    </row>
    <row r="175" spans="2:9" ht="15.75" thickBot="1" x14ac:dyDescent="0.3">
      <c r="B175" s="17">
        <v>173</v>
      </c>
      <c r="C175" s="17" t="s">
        <v>1034</v>
      </c>
      <c r="D175" s="17" t="s">
        <v>804</v>
      </c>
      <c r="E175" s="17" t="s">
        <v>1035</v>
      </c>
      <c r="F175" s="17" t="s">
        <v>1036</v>
      </c>
      <c r="G175" s="17" t="s">
        <v>1037</v>
      </c>
      <c r="H175" s="17" t="s">
        <v>1038</v>
      </c>
      <c r="I175" s="17" t="s">
        <v>1039</v>
      </c>
    </row>
    <row r="176" spans="2:9" ht="15.75" thickBot="1" x14ac:dyDescent="0.3">
      <c r="B176" s="17">
        <v>174</v>
      </c>
      <c r="C176" s="17" t="s">
        <v>1040</v>
      </c>
      <c r="D176" s="17" t="s">
        <v>804</v>
      </c>
      <c r="E176" s="17" t="s">
        <v>714</v>
      </c>
      <c r="F176" s="17" t="s">
        <v>37</v>
      </c>
      <c r="G176" s="17" t="s">
        <v>1041</v>
      </c>
      <c r="H176" s="17" t="s">
        <v>375</v>
      </c>
      <c r="I176" s="17" t="s">
        <v>1042</v>
      </c>
    </row>
    <row r="177" spans="2:9" ht="15.75" thickBot="1" x14ac:dyDescent="0.3">
      <c r="B177" s="17">
        <v>175</v>
      </c>
      <c r="C177" s="17" t="s">
        <v>1043</v>
      </c>
      <c r="D177" s="17" t="s">
        <v>965</v>
      </c>
      <c r="E177" s="17" t="s">
        <v>742</v>
      </c>
      <c r="F177" s="17" t="s">
        <v>681</v>
      </c>
      <c r="G177" s="17" t="s">
        <v>1044</v>
      </c>
      <c r="H177" s="17" t="s">
        <v>1045</v>
      </c>
      <c r="I177" s="17" t="s">
        <v>1046</v>
      </c>
    </row>
    <row r="178" spans="2:9" ht="15.75" thickBot="1" x14ac:dyDescent="0.3">
      <c r="B178" s="17">
        <v>176</v>
      </c>
      <c r="C178" s="17" t="s">
        <v>1047</v>
      </c>
      <c r="D178" s="17" t="s">
        <v>691</v>
      </c>
      <c r="E178" s="17" t="s">
        <v>1048</v>
      </c>
      <c r="F178" s="17" t="s">
        <v>367</v>
      </c>
      <c r="G178" s="17" t="s">
        <v>1049</v>
      </c>
      <c r="H178" s="17" t="s">
        <v>1050</v>
      </c>
      <c r="I178" s="17" t="s">
        <v>1051</v>
      </c>
    </row>
    <row r="179" spans="2:9" ht="15.75" thickBot="1" x14ac:dyDescent="0.3">
      <c r="B179" s="17">
        <v>177</v>
      </c>
      <c r="C179" s="17" t="s">
        <v>1052</v>
      </c>
      <c r="D179" s="17" t="s">
        <v>1053</v>
      </c>
      <c r="E179" s="17" t="s">
        <v>1003</v>
      </c>
      <c r="F179" s="17" t="s">
        <v>681</v>
      </c>
      <c r="G179" s="17" t="s">
        <v>1054</v>
      </c>
      <c r="H179" s="17" t="s">
        <v>1055</v>
      </c>
      <c r="I179" s="17" t="s">
        <v>1056</v>
      </c>
    </row>
    <row r="180" spans="2:9" ht="15.75" thickBot="1" x14ac:dyDescent="0.3">
      <c r="B180" s="17">
        <v>178</v>
      </c>
      <c r="C180" s="17" t="s">
        <v>1057</v>
      </c>
      <c r="D180" s="17" t="s">
        <v>883</v>
      </c>
      <c r="E180" s="17" t="s">
        <v>143</v>
      </c>
      <c r="F180" s="17" t="s">
        <v>114</v>
      </c>
      <c r="G180" s="17" t="s">
        <v>1058</v>
      </c>
      <c r="H180" s="17" t="s">
        <v>710</v>
      </c>
      <c r="I180" s="17" t="s">
        <v>1059</v>
      </c>
    </row>
    <row r="181" spans="2:9" ht="15.75" thickBot="1" x14ac:dyDescent="0.3">
      <c r="B181" s="17">
        <v>179</v>
      </c>
      <c r="C181" s="17" t="s">
        <v>1060</v>
      </c>
      <c r="D181" s="17" t="s">
        <v>883</v>
      </c>
      <c r="E181" s="17" t="s">
        <v>382</v>
      </c>
      <c r="F181" s="17" t="s">
        <v>223</v>
      </c>
      <c r="G181" s="17" t="s">
        <v>1061</v>
      </c>
      <c r="H181" s="17" t="s">
        <v>1062</v>
      </c>
      <c r="I181" s="17" t="s">
        <v>1063</v>
      </c>
    </row>
    <row r="182" spans="2:9" ht="29.25" thickBot="1" x14ac:dyDescent="0.3">
      <c r="B182" s="17">
        <v>180</v>
      </c>
      <c r="C182" s="17" t="s">
        <v>1064</v>
      </c>
      <c r="D182" s="17" t="s">
        <v>1017</v>
      </c>
      <c r="E182" s="17" t="s">
        <v>162</v>
      </c>
      <c r="F182" s="17" t="s">
        <v>909</v>
      </c>
      <c r="G182" s="17" t="s">
        <v>1065</v>
      </c>
      <c r="H182" s="17" t="s">
        <v>1066</v>
      </c>
      <c r="I182" s="17" t="s">
        <v>1067</v>
      </c>
    </row>
    <row r="183" spans="2:9" ht="15.75" thickBot="1" x14ac:dyDescent="0.3">
      <c r="B183" s="17">
        <v>181</v>
      </c>
      <c r="C183" s="17" t="s">
        <v>1068</v>
      </c>
      <c r="D183" s="17" t="s">
        <v>1069</v>
      </c>
      <c r="E183" s="17" t="s">
        <v>1070</v>
      </c>
      <c r="F183" s="17" t="s">
        <v>1071</v>
      </c>
      <c r="G183" s="17" t="s">
        <v>1072</v>
      </c>
      <c r="H183" s="17" t="s">
        <v>1073</v>
      </c>
      <c r="I183" s="17" t="s">
        <v>1074</v>
      </c>
    </row>
    <row r="184" spans="2:9" ht="15.75" thickBot="1" x14ac:dyDescent="0.3">
      <c r="B184" s="17">
        <v>182</v>
      </c>
      <c r="C184" s="17" t="s">
        <v>1075</v>
      </c>
      <c r="D184" s="17" t="s">
        <v>553</v>
      </c>
      <c r="E184" s="17" t="s">
        <v>221</v>
      </c>
      <c r="F184" s="17" t="s">
        <v>1076</v>
      </c>
      <c r="G184" s="17" t="s">
        <v>1077</v>
      </c>
      <c r="H184" s="17" t="s">
        <v>1078</v>
      </c>
      <c r="I184" s="17" t="s">
        <v>1079</v>
      </c>
    </row>
    <row r="185" spans="2:9" ht="15.75" thickBot="1" x14ac:dyDescent="0.3">
      <c r="B185" s="17">
        <v>183</v>
      </c>
      <c r="C185" s="17" t="s">
        <v>1080</v>
      </c>
      <c r="D185" s="17" t="s">
        <v>1081</v>
      </c>
      <c r="E185" s="17" t="s">
        <v>227</v>
      </c>
      <c r="F185" s="17" t="s">
        <v>1082</v>
      </c>
      <c r="G185" s="17" t="s">
        <v>1083</v>
      </c>
      <c r="H185" s="17" t="s">
        <v>1084</v>
      </c>
      <c r="I185" s="17" t="s">
        <v>1085</v>
      </c>
    </row>
    <row r="186" spans="2:9" ht="15.75" thickBot="1" x14ac:dyDescent="0.3">
      <c r="B186" s="17">
        <v>184</v>
      </c>
      <c r="C186" s="17" t="s">
        <v>1086</v>
      </c>
      <c r="D186" s="17" t="s">
        <v>1081</v>
      </c>
      <c r="E186" s="17" t="s">
        <v>148</v>
      </c>
      <c r="F186" s="17" t="s">
        <v>1030</v>
      </c>
      <c r="G186" s="17" t="s">
        <v>1087</v>
      </c>
      <c r="H186" s="17" t="s">
        <v>1088</v>
      </c>
      <c r="I186" s="17" t="s">
        <v>1089</v>
      </c>
    </row>
    <row r="187" spans="2:9" ht="15.75" thickBot="1" x14ac:dyDescent="0.3">
      <c r="B187" s="17">
        <v>185</v>
      </c>
      <c r="C187" s="17" t="s">
        <v>1090</v>
      </c>
      <c r="D187" s="17" t="s">
        <v>309</v>
      </c>
      <c r="E187" s="17" t="s">
        <v>1091</v>
      </c>
      <c r="F187" s="17" t="s">
        <v>438</v>
      </c>
      <c r="G187" s="17" t="s">
        <v>1092</v>
      </c>
      <c r="H187" s="17" t="s">
        <v>1093</v>
      </c>
      <c r="I187" s="17" t="s">
        <v>1094</v>
      </c>
    </row>
    <row r="188" spans="2:9" ht="15.75" thickBot="1" x14ac:dyDescent="0.3">
      <c r="B188" s="17">
        <v>186</v>
      </c>
      <c r="C188" s="17" t="s">
        <v>1095</v>
      </c>
      <c r="D188" s="17" t="s">
        <v>760</v>
      </c>
      <c r="E188" s="17" t="s">
        <v>341</v>
      </c>
      <c r="F188" s="17" t="s">
        <v>205</v>
      </c>
      <c r="G188" s="17" t="s">
        <v>1096</v>
      </c>
      <c r="H188" s="17" t="s">
        <v>1097</v>
      </c>
      <c r="I188" s="17" t="s">
        <v>1098</v>
      </c>
    </row>
    <row r="189" spans="2:9" ht="15.75" thickBot="1" x14ac:dyDescent="0.3">
      <c r="B189" s="17">
        <v>187</v>
      </c>
      <c r="C189" s="17" t="s">
        <v>1099</v>
      </c>
      <c r="D189" s="17" t="s">
        <v>1100</v>
      </c>
      <c r="E189" s="17" t="s">
        <v>826</v>
      </c>
      <c r="F189" s="17" t="s">
        <v>196</v>
      </c>
      <c r="G189" s="17" t="s">
        <v>1101</v>
      </c>
      <c r="H189" s="17" t="s">
        <v>1102</v>
      </c>
      <c r="I189" s="17" t="s">
        <v>1103</v>
      </c>
    </row>
    <row r="190" spans="2:9" ht="15.75" thickBot="1" x14ac:dyDescent="0.3">
      <c r="B190" s="17">
        <v>188</v>
      </c>
      <c r="C190" s="17" t="s">
        <v>1104</v>
      </c>
      <c r="D190" s="17" t="s">
        <v>669</v>
      </c>
      <c r="E190" s="17" t="s">
        <v>196</v>
      </c>
      <c r="F190" s="17" t="s">
        <v>591</v>
      </c>
      <c r="G190" s="17" t="s">
        <v>1105</v>
      </c>
      <c r="H190" s="17" t="s">
        <v>1106</v>
      </c>
      <c r="I190" s="17" t="s">
        <v>1107</v>
      </c>
    </row>
  </sheetData>
  <hyperlinks>
    <hyperlink ref="F1" r:id="rId1" tooltip="Déficit écologique" display="https://fr.wikipedia.org/wiki/D%C3%A9ficit_%C3%A9cologique" xr:uid="{E9E0F39E-BC1F-4E8F-8589-71F076A051BA}"/>
  </hyperlinks>
  <pageMargins left="0.7" right="0.7" top="0.75" bottom="0.75" header="0.3" footer="0.3"/>
  <pageSetup paperSize="9" orientation="portrait" horizontalDpi="4294967293" verticalDpi="0"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10</vt:i4>
      </vt:variant>
    </vt:vector>
  </HeadingPairs>
  <TitlesOfParts>
    <vt:vector size="10" baseType="lpstr">
      <vt:lpstr>°C | espace | équipe | groupe</vt:lpstr>
      <vt:lpstr>Balan</vt:lpstr>
      <vt:lpstr>Bronature</vt:lpstr>
      <vt:lpstr>Mansart</vt:lpstr>
      <vt:lpstr>Neyron</vt:lpstr>
      <vt:lpstr>Sosanimaux</vt:lpstr>
      <vt:lpstr>Sosvegetaux</vt:lpstr>
      <vt:lpstr>Bravo texte générique</vt:lpstr>
      <vt:lpstr>GES par pays par hab</vt:lpstr>
      <vt:lpstr>Empreinte eco mondiale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ghiraclides</dc:creator>
  <cp:lastModifiedBy>Jo H.</cp:lastModifiedBy>
  <dcterms:created xsi:type="dcterms:W3CDTF">2020-12-17T22:18:31Z</dcterms:created>
  <dcterms:modified xsi:type="dcterms:W3CDTF">2025-07-02T08:41:38Z</dcterms:modified>
</cp:coreProperties>
</file>